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edion\Desktop\ADS\3 Realaus pasaulio modeliavimas\"/>
    </mc:Choice>
  </mc:AlternateContent>
  <xr:revisionPtr revIDLastSave="0" documentId="13_ncr:1_{49A37B07-F8AF-4F0E-ACF0-10A0F47733F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LFF" sheetId="1" r:id="rId1"/>
    <sheet name="PDF" sheetId="5" r:id="rId2"/>
    <sheet name="DVF" sheetId="6" r:id="rId3"/>
    <sheet name="PPS" sheetId="7" r:id="rId4"/>
    <sheet name="DTS" sheetId="3" r:id="rId5"/>
    <sheet name="DFF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7" l="1"/>
  <c r="E8" i="7"/>
  <c r="E9" i="7" s="1"/>
  <c r="D8" i="7"/>
  <c r="D9" i="7" s="1"/>
  <c r="E33" i="7"/>
  <c r="F27" i="7" s="1"/>
  <c r="F33" i="7" s="1"/>
  <c r="D33" i="7"/>
  <c r="E41" i="7"/>
  <c r="F40" i="7" s="1"/>
  <c r="D41" i="7"/>
  <c r="C25" i="7"/>
  <c r="C24" i="7"/>
  <c r="C23" i="7"/>
  <c r="C22" i="7"/>
  <c r="E22" i="7"/>
  <c r="F21" i="7" s="1"/>
  <c r="D22" i="7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F30" i="7" l="1"/>
  <c r="F31" i="7"/>
  <c r="F29" i="7"/>
  <c r="F32" i="7"/>
  <c r="F28" i="7"/>
  <c r="F35" i="7"/>
  <c r="F41" i="7" s="1"/>
  <c r="F36" i="7"/>
  <c r="F37" i="7"/>
  <c r="F39" i="7"/>
  <c r="F38" i="7"/>
  <c r="F16" i="7"/>
  <c r="F17" i="7"/>
  <c r="F15" i="7"/>
  <c r="F22" i="7" s="1"/>
  <c r="F19" i="7"/>
  <c r="F20" i="7"/>
  <c r="F18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Saulius</author>
  </authors>
  <commentList>
    <comment ref="C8" authorId="0" shapeId="0" xr:uid="{A1B53367-8C67-4529-998B-D2354DBF9405}">
      <text>
        <r>
          <rPr>
            <sz val="8"/>
            <color indexed="81"/>
            <rFont val="Tahoma"/>
            <family val="2"/>
          </rPr>
          <t xml:space="preserve">Pildoma </t>
        </r>
        <r>
          <rPr>
            <b/>
            <sz val="8"/>
            <color indexed="81"/>
            <rFont val="Tahoma"/>
          </rPr>
          <t xml:space="preserve">Planavimo </t>
        </r>
        <r>
          <rPr>
            <sz val="8"/>
            <color indexed="81"/>
            <rFont val="Tahoma"/>
            <family val="2"/>
          </rPr>
          <t xml:space="preserve">fazės metu, remiantis </t>
        </r>
        <r>
          <rPr>
            <b/>
            <sz val="8"/>
            <color indexed="81"/>
            <rFont val="Tahoma"/>
            <family val="2"/>
          </rPr>
          <t>PDF</t>
        </r>
        <r>
          <rPr>
            <sz val="8"/>
            <color indexed="81"/>
            <rFont val="Tahoma"/>
            <family val="2"/>
          </rPr>
          <t xml:space="preserve"> duomenimis</t>
        </r>
        <r>
          <rPr>
            <b/>
            <sz val="8"/>
            <color indexed="81"/>
            <rFont val="Tahoma"/>
          </rPr>
          <t xml:space="preserve">
</t>
        </r>
        <r>
          <rPr>
            <sz val="8"/>
            <color indexed="81"/>
            <rFont val="Tahoma"/>
          </rPr>
          <t xml:space="preserve">
</t>
        </r>
      </text>
    </comment>
    <comment ref="C22" authorId="0" shapeId="0" xr:uid="{809E1F9E-5E22-4E96-B7ED-59D637173C9E}">
      <text>
        <r>
          <rPr>
            <sz val="8"/>
            <color indexed="81"/>
            <rFont val="Tahoma"/>
            <family val="2"/>
          </rPr>
          <t xml:space="preserve">Suplanuota projekto trukmė </t>
        </r>
        <r>
          <rPr>
            <b/>
            <i/>
            <sz val="8"/>
            <color indexed="81"/>
            <rFont val="Tahoma"/>
            <family val="2"/>
          </rPr>
          <t xml:space="preserve">Viso </t>
        </r>
        <r>
          <rPr>
            <sz val="8"/>
            <color indexed="81"/>
            <rFont val="Tahoma"/>
            <family val="2"/>
          </rPr>
          <t xml:space="preserve">turi sutapti su </t>
        </r>
        <r>
          <rPr>
            <i/>
            <sz val="8"/>
            <color indexed="81"/>
            <rFont val="Tahoma"/>
            <family val="2"/>
          </rPr>
          <t xml:space="preserve">Apskaičiuotas laikas </t>
        </r>
        <r>
          <rPr>
            <sz val="8"/>
            <color indexed="81"/>
            <rFont val="Tahoma"/>
            <family val="2"/>
          </rPr>
          <t>reikšme</t>
        </r>
        <r>
          <rPr>
            <sz val="8"/>
            <color indexed="81"/>
            <rFont val="Tahoma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<sst xmlns="http://schemas.openxmlformats.org/spreadsheetml/2006/main" count="159" uniqueCount="100">
  <si>
    <t>Komentarai</t>
  </si>
  <si>
    <t>Defekto tipas</t>
  </si>
  <si>
    <t>Data</t>
  </si>
  <si>
    <t>Nuo</t>
  </si>
  <si>
    <t>Iki</t>
  </si>
  <si>
    <t>Trukdžiai</t>
  </si>
  <si>
    <t>Laikas</t>
  </si>
  <si>
    <t>Veikla</t>
  </si>
  <si>
    <t>Planavimas</t>
  </si>
  <si>
    <t>Programavimas</t>
  </si>
  <si>
    <t>Testavimas</t>
  </si>
  <si>
    <t>PSP veikla</t>
  </si>
  <si>
    <t>B.</t>
  </si>
  <si>
    <t>Vnt.</t>
  </si>
  <si>
    <t>Baigta.</t>
  </si>
  <si>
    <t>Grupė:</t>
  </si>
  <si>
    <t>Data:</t>
  </si>
  <si>
    <t>Studentas:</t>
  </si>
  <si>
    <t>Programavimo kalba:</t>
  </si>
  <si>
    <t>Programa</t>
  </si>
  <si>
    <t>Laikas (min)</t>
  </si>
  <si>
    <t>Dydis (ES)</t>
  </si>
  <si>
    <t>Min/ES</t>
  </si>
  <si>
    <t>Funkcijos</t>
  </si>
  <si>
    <t>Kuriama programa:</t>
  </si>
  <si>
    <t>Realizuota funkcija</t>
  </si>
  <si>
    <t>Vertinama funkcija</t>
  </si>
  <si>
    <t>Min</t>
  </si>
  <si>
    <t>Vid.</t>
  </si>
  <si>
    <t>Max</t>
  </si>
  <si>
    <t>Bendras įvertinimas</t>
  </si>
  <si>
    <t>Komentarai:</t>
  </si>
  <si>
    <t>Defektų tipų standartas</t>
  </si>
  <si>
    <t>Tipo numeris</t>
  </si>
  <si>
    <t>Tipo pavadinimas</t>
  </si>
  <si>
    <t>Aprašas</t>
  </si>
  <si>
    <t>Dokumentavimas</t>
  </si>
  <si>
    <t>komentarai, pranešimai</t>
  </si>
  <si>
    <t>Sintaksė</t>
  </si>
  <si>
    <t>sintaksinės klaidos</t>
  </si>
  <si>
    <t>Versijavimas</t>
  </si>
  <si>
    <t>pakeitimų valdymas, versijų kontrolė</t>
  </si>
  <si>
    <t>Vardai</t>
  </si>
  <si>
    <t>aprašai, vienodi vardai, galiojimo sritis</t>
  </si>
  <si>
    <t>Interfeisas</t>
  </si>
  <si>
    <t>funkcijų/procedūrų iškvietimai, įvedimas-išvedimas, vartotojo formatai</t>
  </si>
  <si>
    <t>Kontrolė</t>
  </si>
  <si>
    <t>klaidų pranešimai, nepakankama kontrolė</t>
  </si>
  <si>
    <t>Duomenys</t>
  </si>
  <si>
    <t>duomenų struktūros ir turinys</t>
  </si>
  <si>
    <t>Funkcionalumas</t>
  </si>
  <si>
    <t>logika, rodyklės, ciklai, rekursija, skaičiavimai, funkcionalumo defektai</t>
  </si>
  <si>
    <t>Sistema</t>
  </si>
  <si>
    <t>konfigūracija, sinchronizavimas, atminties valdymas</t>
  </si>
  <si>
    <t>Aplinka</t>
  </si>
  <si>
    <t>aplinkos (projektavimo, kompiliavimo, testavimo ar kt.) problemos</t>
  </si>
  <si>
    <t>Pastabos.
Naujus klaidų tipus įterpti į lentelę.
Sukaupus daugiau klaidų, galima susikurti savo standartą (atkreipti dėmesį į istorinius duomenis)</t>
  </si>
  <si>
    <t>Programa:</t>
  </si>
  <si>
    <t>Radimo data</t>
  </si>
  <si>
    <t>Defekto numeris</t>
  </si>
  <si>
    <t>Padarytas fazėje</t>
  </si>
  <si>
    <t>Pašalintas fazėje</t>
  </si>
  <si>
    <t>Taisymo laikas</t>
  </si>
  <si>
    <t>Taisant defektą</t>
  </si>
  <si>
    <t>Detalus defekto aprašas</t>
  </si>
  <si>
    <t>Projekto plano suvestinė</t>
  </si>
  <si>
    <t xml:space="preserve"> </t>
  </si>
  <si>
    <t>Trumpas programos apibūdinimas:</t>
  </si>
  <si>
    <t>Produktyvumas</t>
  </si>
  <si>
    <t>Planas</t>
  </si>
  <si>
    <t>Faktas</t>
  </si>
  <si>
    <t>Iki šiol</t>
  </si>
  <si>
    <t>ES/Val</t>
  </si>
  <si>
    <t>Programos dydis (ES)</t>
  </si>
  <si>
    <t>Viso (Naujos+Keistos)</t>
  </si>
  <si>
    <t>Maksimalus dydis</t>
  </si>
  <si>
    <t>Minimalus dydis</t>
  </si>
  <si>
    <t>Laikas (min.)</t>
  </si>
  <si>
    <t>Iki šiol %</t>
  </si>
  <si>
    <t>Projektavimas</t>
  </si>
  <si>
    <t>Kodavimas</t>
  </si>
  <si>
    <t>Peržiūra</t>
  </si>
  <si>
    <t>Kompiliavimas</t>
  </si>
  <si>
    <t>"Aptarimas"</t>
  </si>
  <si>
    <t>Viso:</t>
  </si>
  <si>
    <t>Apskaičiuotas laikas:</t>
  </si>
  <si>
    <t>Maksimalus laikas:</t>
  </si>
  <si>
    <t>Minimalus laikas:</t>
  </si>
  <si>
    <t>Padaryti defektai</t>
  </si>
  <si>
    <t>-</t>
  </si>
  <si>
    <t>Viso kūrimo metu:</t>
  </si>
  <si>
    <t>Pašalinti defektai</t>
  </si>
  <si>
    <t>Po kūrimo</t>
  </si>
  <si>
    <t>PriorityQueue.c/h realizacija (ADT prioritetinė eilė)</t>
  </si>
  <si>
    <t>BigInteger.c/h kūrimas ilgų skaičių skaičiavimui</t>
  </si>
  <si>
    <t>Simulation.c pagrindinė verslo logika ir viršvalandžių skaičiavimas</t>
  </si>
  <si>
    <t>main.c: parametrų nuskaitymas iš .cfg ir -rnd valdymas</t>
  </si>
  <si>
    <t>Go.cmd testų vykdymas, rezultatų palyginimas (Scenario 1 vs 2)</t>
  </si>
  <si>
    <t>Dokumentacijos tvarkymas ir galutinis PSP.xlsx pildymas</t>
  </si>
  <si>
    <t>Struktūros kūrimas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</si>
</sst>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[$]hh:mm;@" x16r2:formatCode16="[$-ru-UA,1]hh:mm;@"/>
  </numFmts>
  <fonts count="1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0"/>
      <name val="Arial"/>
      <family val="2"/>
    </font>
    <font>
      <sz val="12"/>
      <color theme="1"/>
      <name val="Times New Roman"/>
      <family val="1"/>
    </font>
    <font>
      <b/>
      <sz val="10"/>
      <name val="Arial"/>
      <family val="2"/>
    </font>
    <font>
      <sz val="8"/>
      <name val="Arial"/>
      <family val="2"/>
    </font>
    <font>
      <i/>
      <sz val="10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sz val="8"/>
      <color indexed="81"/>
      <name val="Tahoma"/>
    </font>
    <font>
      <b/>
      <sz val="8"/>
      <color indexed="81"/>
      <name val="Tahoma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i/>
      <sz val="8"/>
      <color indexed="81"/>
      <name val="Tahoma"/>
      <family val="2"/>
    </font>
    <font>
      <b/>
      <i/>
      <sz val="8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/>
      <top style="medium">
        <color indexed="64"/>
      </top>
      <bottom/>
      <diagonal/>
    </border>
  </borders>
  <cellStyleXfs count="3">
    <xf numFmtId="0" fontId="0" fillId="0" borderId="0"/>
    <xf numFmtId="0" fontId="1" fillId="0" borderId="0"/>
    <xf numFmtId="0" fontId="4" fillId="0" borderId="0"/>
  </cellStyleXfs>
  <cellXfs count="123">
    <xf numFmtId="0" fontId="0" fillId="0" borderId="0" xfId="0"/>
    <xf numFmtId="20" fontId="0" fillId="0" borderId="0" xfId="0" applyNumberFormat="1"/>
    <xf numFmtId="0" fontId="5" fillId="0" borderId="0" xfId="0" applyFont="1" applyAlignment="1">
      <alignment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0" fillId="3" borderId="0" xfId="0" applyFill="1"/>
    <xf numFmtId="0" fontId="6" fillId="3" borderId="0" xfId="0" applyFont="1" applyFill="1" applyAlignment="1">
      <alignment horizontal="right"/>
    </xf>
    <xf numFmtId="0" fontId="0" fillId="0" borderId="6" xfId="0" applyBorder="1" applyProtection="1">
      <protection locked="0"/>
    </xf>
    <xf numFmtId="0" fontId="0" fillId="0" borderId="2" xfId="0" applyBorder="1" applyAlignment="1" applyProtection="1">
      <alignment horizontal="left"/>
      <protection locked="0"/>
    </xf>
    <xf numFmtId="0" fontId="0" fillId="0" borderId="1" xfId="0" applyBorder="1" applyProtection="1">
      <protection locked="0"/>
    </xf>
    <xf numFmtId="0" fontId="0" fillId="0" borderId="1" xfId="0" applyBorder="1" applyAlignment="1" applyProtection="1">
      <alignment horizontal="left"/>
      <protection locked="0"/>
    </xf>
    <xf numFmtId="0" fontId="6" fillId="3" borderId="1" xfId="0" applyFont="1" applyFill="1" applyBorder="1" applyAlignment="1">
      <alignment horizontal="center" wrapText="1"/>
    </xf>
    <xf numFmtId="14" fontId="0" fillId="0" borderId="1" xfId="0" applyNumberFormat="1" applyBorder="1" applyProtection="1">
      <protection locked="0"/>
    </xf>
    <xf numFmtId="0" fontId="0" fillId="0" borderId="1" xfId="0" applyBorder="1" applyProtection="1">
      <protection locked="0"/>
    </xf>
    <xf numFmtId="2" fontId="0" fillId="3" borderId="1" xfId="0" applyNumberFormat="1" applyFill="1" applyBorder="1" applyAlignment="1">
      <alignment horizontal="center"/>
    </xf>
    <xf numFmtId="0" fontId="7" fillId="0" borderId="1" xfId="0" applyFont="1" applyBorder="1" applyAlignment="1" applyProtection="1">
      <alignment vertical="top" wrapText="1"/>
      <protection locked="0"/>
    </xf>
    <xf numFmtId="0" fontId="0" fillId="0" borderId="1" xfId="0" applyBorder="1" applyAlignment="1" applyProtection="1">
      <alignment vertical="top" wrapText="1"/>
      <protection locked="0"/>
    </xf>
    <xf numFmtId="0" fontId="6" fillId="3" borderId="4" xfId="1" applyFont="1" applyFill="1" applyBorder="1" applyAlignment="1" applyProtection="1">
      <protection locked="0"/>
    </xf>
    <xf numFmtId="0" fontId="1" fillId="0" borderId="6" xfId="1" applyBorder="1" applyProtection="1">
      <protection locked="0"/>
    </xf>
    <xf numFmtId="0" fontId="6" fillId="3" borderId="0" xfId="1" applyFont="1" applyFill="1" applyAlignment="1" applyProtection="1">
      <alignment horizontal="right"/>
    </xf>
    <xf numFmtId="0" fontId="1" fillId="3" borderId="0" xfId="1" applyFill="1" applyProtection="1"/>
    <xf numFmtId="0" fontId="1" fillId="3" borderId="0" xfId="1" applyFill="1" applyBorder="1" applyProtection="1"/>
    <xf numFmtId="0" fontId="1" fillId="3" borderId="0" xfId="1" applyFill="1" applyBorder="1" applyAlignment="1" applyProtection="1"/>
    <xf numFmtId="0" fontId="6" fillId="3" borderId="1" xfId="1" applyFont="1" applyFill="1" applyBorder="1" applyAlignment="1" applyProtection="1">
      <alignment horizontal="center" wrapText="1"/>
    </xf>
    <xf numFmtId="0" fontId="7" fillId="0" borderId="1" xfId="1" applyFont="1" applyBorder="1" applyAlignment="1" applyProtection="1">
      <alignment vertical="top" wrapText="1"/>
      <protection locked="0"/>
    </xf>
    <xf numFmtId="0" fontId="1" fillId="0" borderId="1" xfId="1" applyBorder="1" applyAlignment="1" applyProtection="1">
      <alignment vertical="top" wrapText="1"/>
      <protection locked="0"/>
    </xf>
    <xf numFmtId="0" fontId="6" fillId="3" borderId="1" xfId="1" applyFont="1" applyFill="1" applyBorder="1" applyAlignment="1" applyProtection="1">
      <alignment vertical="top" wrapText="1"/>
      <protection locked="0"/>
    </xf>
    <xf numFmtId="0" fontId="9" fillId="3" borderId="0" xfId="1" applyFont="1" applyFill="1"/>
    <xf numFmtId="0" fontId="1" fillId="3" borderId="0" xfId="1" applyFill="1"/>
    <xf numFmtId="14" fontId="1" fillId="4" borderId="1" xfId="1" applyNumberFormat="1" applyFill="1" applyBorder="1" applyProtection="1">
      <protection locked="0"/>
    </xf>
    <xf numFmtId="0" fontId="1" fillId="4" borderId="1" xfId="1" applyFill="1" applyBorder="1" applyProtection="1">
      <protection locked="0"/>
    </xf>
    <xf numFmtId="0" fontId="7" fillId="4" borderId="1" xfId="1" applyFont="1" applyFill="1" applyBorder="1" applyAlignment="1" applyProtection="1">
      <alignment vertical="top" wrapText="1"/>
      <protection locked="0"/>
    </xf>
    <xf numFmtId="0" fontId="1" fillId="4" borderId="1" xfId="1" applyFill="1" applyBorder="1" applyAlignment="1" applyProtection="1">
      <alignment vertical="top" wrapText="1"/>
      <protection locked="0"/>
    </xf>
    <xf numFmtId="0" fontId="6" fillId="3" borderId="10" xfId="1" applyFont="1" applyFill="1" applyBorder="1" applyAlignment="1"/>
    <xf numFmtId="0" fontId="6" fillId="3" borderId="11" xfId="1" applyFont="1" applyFill="1" applyBorder="1" applyAlignment="1"/>
    <xf numFmtId="0" fontId="10" fillId="0" borderId="1" xfId="1" applyFont="1" applyBorder="1" applyAlignment="1">
      <alignment wrapText="1"/>
    </xf>
    <xf numFmtId="0" fontId="1" fillId="0" borderId="1" xfId="1" applyBorder="1" applyAlignment="1" applyProtection="1">
      <protection locked="0"/>
    </xf>
    <xf numFmtId="0" fontId="1" fillId="0" borderId="1" xfId="1" applyBorder="1" applyAlignment="1"/>
    <xf numFmtId="0" fontId="1" fillId="0" borderId="7" xfId="1" applyBorder="1" applyAlignment="1" applyProtection="1">
      <alignment horizontal="left"/>
      <protection locked="0"/>
    </xf>
    <xf numFmtId="0" fontId="1" fillId="0" borderId="8" xfId="1" applyBorder="1" applyAlignment="1" applyProtection="1">
      <alignment horizontal="left"/>
      <protection locked="0"/>
    </xf>
    <xf numFmtId="0" fontId="1" fillId="0" borderId="9" xfId="1" applyBorder="1" applyAlignment="1" applyProtection="1">
      <alignment horizontal="left"/>
      <protection locked="0"/>
    </xf>
    <xf numFmtId="0" fontId="1" fillId="0" borderId="4" xfId="1" applyBorder="1" applyAlignment="1" applyProtection="1">
      <alignment horizontal="left"/>
      <protection locked="0"/>
    </xf>
    <xf numFmtId="0" fontId="1" fillId="0" borderId="10" xfId="1" applyBorder="1" applyAlignment="1" applyProtection="1">
      <alignment horizontal="left"/>
      <protection locked="0"/>
    </xf>
    <xf numFmtId="0" fontId="1" fillId="0" borderId="11" xfId="1" applyBorder="1" applyAlignment="1" applyProtection="1">
      <alignment horizontal="left"/>
      <protection locked="0"/>
    </xf>
    <xf numFmtId="0" fontId="1" fillId="0" borderId="4" xfId="1" applyBorder="1" applyAlignment="1" applyProtection="1">
      <protection locked="0"/>
    </xf>
    <xf numFmtId="0" fontId="1" fillId="3" borderId="0" xfId="1" applyFill="1"/>
    <xf numFmtId="0" fontId="1" fillId="0" borderId="6" xfId="1" applyBorder="1" applyProtection="1">
      <protection locked="0"/>
    </xf>
    <xf numFmtId="0" fontId="1" fillId="0" borderId="2" xfId="1" applyBorder="1" applyProtection="1">
      <protection locked="0"/>
    </xf>
    <xf numFmtId="0" fontId="6" fillId="3" borderId="0" xfId="1" applyFont="1" applyFill="1" applyAlignment="1" applyProtection="1">
      <alignment horizontal="right"/>
    </xf>
    <xf numFmtId="0" fontId="1" fillId="3" borderId="0" xfId="1" applyFill="1" applyBorder="1" applyProtection="1"/>
    <xf numFmtId="0" fontId="1" fillId="3" borderId="0" xfId="1" applyFill="1" applyProtection="1"/>
    <xf numFmtId="0" fontId="6" fillId="3" borderId="1" xfId="1" applyFont="1" applyFill="1" applyBorder="1" applyAlignment="1" applyProtection="1">
      <alignment horizontal="center"/>
    </xf>
    <xf numFmtId="0" fontId="1" fillId="0" borderId="1" xfId="1" applyBorder="1" applyProtection="1">
      <protection locked="0"/>
    </xf>
    <xf numFmtId="0" fontId="8" fillId="3" borderId="0" xfId="1" applyFont="1" applyFill="1" applyAlignment="1" applyProtection="1">
      <alignment horizontal="right"/>
    </xf>
    <xf numFmtId="0" fontId="8" fillId="3" borderId="0" xfId="1" applyFont="1" applyFill="1" applyAlignment="1" applyProtection="1">
      <alignment horizontal="left"/>
    </xf>
    <xf numFmtId="0" fontId="10" fillId="0" borderId="1" xfId="1" applyFont="1" applyBorder="1" applyProtection="1">
      <protection locked="0"/>
    </xf>
    <xf numFmtId="0" fontId="6" fillId="3" borderId="1" xfId="1" applyFont="1" applyFill="1" applyBorder="1" applyAlignment="1" applyProtection="1">
      <alignment horizontal="center" wrapText="1"/>
    </xf>
    <xf numFmtId="0" fontId="8" fillId="3" borderId="0" xfId="1" applyFont="1" applyFill="1" applyAlignment="1" applyProtection="1">
      <alignment horizontal="left" wrapText="1"/>
    </xf>
    <xf numFmtId="0" fontId="1" fillId="0" borderId="11" xfId="1" applyBorder="1" applyAlignment="1" applyProtection="1">
      <protection locked="0"/>
    </xf>
    <xf numFmtId="0" fontId="6" fillId="3" borderId="0" xfId="1" applyFont="1" applyFill="1" applyAlignment="1" applyProtection="1">
      <alignment horizontal="center"/>
    </xf>
    <xf numFmtId="0" fontId="1" fillId="3" borderId="0" xfId="1" applyFill="1" applyAlignment="1" applyProtection="1">
      <alignment horizontal="center"/>
    </xf>
    <xf numFmtId="0" fontId="1" fillId="0" borderId="10" xfId="1" applyBorder="1" applyAlignment="1" applyProtection="1">
      <protection locked="0"/>
    </xf>
    <xf numFmtId="0" fontId="1" fillId="3" borderId="0" xfId="1" applyFill="1"/>
    <xf numFmtId="0" fontId="6" fillId="3" borderId="0" xfId="1" applyFont="1" applyFill="1" applyAlignment="1">
      <alignment horizontal="right"/>
    </xf>
    <xf numFmtId="0" fontId="1" fillId="0" borderId="6" xfId="1" applyBorder="1" applyProtection="1">
      <protection locked="0"/>
    </xf>
    <xf numFmtId="0" fontId="1" fillId="3" borderId="0" xfId="1" applyFill="1" applyBorder="1"/>
    <xf numFmtId="0" fontId="6" fillId="3" borderId="0" xfId="1" applyFont="1" applyFill="1" applyBorder="1" applyAlignment="1">
      <alignment horizontal="right"/>
    </xf>
    <xf numFmtId="0" fontId="1" fillId="0" borderId="2" xfId="1" applyBorder="1" applyProtection="1">
      <protection locked="0"/>
    </xf>
    <xf numFmtId="0" fontId="1" fillId="0" borderId="1" xfId="1" applyBorder="1"/>
    <xf numFmtId="14" fontId="1" fillId="0" borderId="1" xfId="1" applyNumberFormat="1" applyBorder="1"/>
    <xf numFmtId="0" fontId="6" fillId="3" borderId="1" xfId="1" applyFont="1" applyFill="1" applyBorder="1" applyAlignment="1">
      <alignment horizontal="center" wrapText="1"/>
    </xf>
    <xf numFmtId="0" fontId="7" fillId="0" borderId="1" xfId="1" applyFont="1" applyBorder="1" applyAlignment="1">
      <alignment vertical="top" wrapText="1"/>
    </xf>
    <xf numFmtId="0" fontId="1" fillId="0" borderId="1" xfId="1" applyBorder="1" applyAlignment="1">
      <alignment vertical="top" wrapText="1"/>
    </xf>
    <xf numFmtId="0" fontId="9" fillId="3" borderId="0" xfId="1" applyFont="1" applyFill="1" applyAlignment="1">
      <alignment horizontal="center" vertical="top"/>
    </xf>
    <xf numFmtId="0" fontId="1" fillId="0" borderId="1" xfId="1" applyBorder="1" applyProtection="1">
      <protection locked="0"/>
    </xf>
    <xf numFmtId="0" fontId="6" fillId="3" borderId="0" xfId="1" applyFont="1" applyFill="1" applyAlignment="1">
      <alignment horizontal="right"/>
    </xf>
    <xf numFmtId="0" fontId="1" fillId="0" borderId="6" xfId="1" applyBorder="1" applyProtection="1">
      <protection locked="0"/>
    </xf>
    <xf numFmtId="0" fontId="1" fillId="3" borderId="0" xfId="1" applyFill="1" applyBorder="1"/>
    <xf numFmtId="0" fontId="6" fillId="3" borderId="0" xfId="1" applyFont="1" applyFill="1" applyBorder="1" applyAlignment="1">
      <alignment horizontal="right"/>
    </xf>
    <xf numFmtId="0" fontId="1" fillId="3" borderId="0" xfId="1" applyFill="1"/>
    <xf numFmtId="0" fontId="1" fillId="0" borderId="12" xfId="1" applyBorder="1" applyProtection="1">
      <protection locked="0"/>
    </xf>
    <xf numFmtId="0" fontId="6" fillId="3" borderId="0" xfId="1" applyFont="1" applyFill="1" applyAlignment="1">
      <alignment horizontal="right" wrapText="1"/>
    </xf>
    <xf numFmtId="0" fontId="1" fillId="3" borderId="4" xfId="1" applyFill="1" applyBorder="1"/>
    <xf numFmtId="0" fontId="1" fillId="3" borderId="11" xfId="1" applyFill="1" applyBorder="1"/>
    <xf numFmtId="0" fontId="9" fillId="3" borderId="11" xfId="1" applyFont="1" applyFill="1" applyBorder="1" applyAlignment="1">
      <alignment horizontal="right"/>
    </xf>
    <xf numFmtId="0" fontId="1" fillId="3" borderId="10" xfId="1" applyFill="1" applyBorder="1"/>
    <xf numFmtId="0" fontId="9" fillId="3" borderId="0" xfId="1" applyFont="1" applyFill="1" applyAlignment="1">
      <alignment horizontal="left"/>
    </xf>
    <xf numFmtId="0" fontId="6" fillId="3" borderId="0" xfId="1" applyFont="1" applyFill="1" applyAlignment="1" applyProtection="1">
      <alignment horizontal="center"/>
      <protection locked="0"/>
    </xf>
    <xf numFmtId="0" fontId="6" fillId="3" borderId="1" xfId="1" applyFont="1" applyFill="1" applyBorder="1" applyAlignment="1">
      <alignment horizontal="center"/>
    </xf>
    <xf numFmtId="0" fontId="1" fillId="3" borderId="0" xfId="1" applyFill="1" applyProtection="1"/>
    <xf numFmtId="10" fontId="1" fillId="3" borderId="1" xfId="1" applyNumberFormat="1" applyFill="1" applyBorder="1" applyProtection="1"/>
    <xf numFmtId="0" fontId="1" fillId="3" borderId="1" xfId="1" applyFill="1" applyBorder="1" applyAlignment="1" applyProtection="1">
      <alignment horizontal="center"/>
    </xf>
    <xf numFmtId="0" fontId="1" fillId="3" borderId="1" xfId="1" applyFill="1" applyBorder="1" applyProtection="1">
      <protection locked="0"/>
    </xf>
    <xf numFmtId="0" fontId="6" fillId="3" borderId="0" xfId="1" applyFont="1" applyFill="1" applyBorder="1" applyAlignment="1">
      <alignment horizontal="center"/>
    </xf>
    <xf numFmtId="10" fontId="1" fillId="3" borderId="0" xfId="1" applyNumberFormat="1" applyFill="1" applyBorder="1" applyProtection="1"/>
    <xf numFmtId="0" fontId="1" fillId="0" borderId="1" xfId="1" applyFill="1" applyBorder="1" applyProtection="1">
      <protection locked="0"/>
    </xf>
    <xf numFmtId="0" fontId="1" fillId="3" borderId="0" xfId="1" applyFill="1" applyBorder="1" applyAlignment="1" applyProtection="1">
      <alignment horizontal="center"/>
      <protection locked="0"/>
    </xf>
    <xf numFmtId="0" fontId="8" fillId="3" borderId="10" xfId="1" applyFont="1" applyFill="1" applyBorder="1" applyAlignment="1">
      <alignment horizontal="right"/>
    </xf>
    <xf numFmtId="0" fontId="6" fillId="3" borderId="1" xfId="1" applyFont="1" applyFill="1" applyBorder="1" applyAlignment="1" applyProtection="1">
      <alignment horizontal="center"/>
      <protection locked="0"/>
    </xf>
    <xf numFmtId="0" fontId="6" fillId="3" borderId="1" xfId="1" applyFont="1" applyFill="1" applyBorder="1" applyAlignment="1"/>
    <xf numFmtId="0" fontId="1" fillId="3" borderId="1" xfId="1" applyFill="1" applyBorder="1" applyAlignment="1"/>
    <xf numFmtId="0" fontId="6" fillId="3" borderId="0" xfId="1" applyFont="1" applyFill="1" applyAlignment="1"/>
    <xf numFmtId="0" fontId="1" fillId="3" borderId="0" xfId="1" applyFill="1" applyAlignment="1"/>
    <xf numFmtId="0" fontId="1" fillId="0" borderId="10" xfId="1" applyBorder="1" applyAlignment="1"/>
    <xf numFmtId="0" fontId="1" fillId="0" borderId="11" xfId="1" applyBorder="1" applyAlignment="1"/>
    <xf numFmtId="0" fontId="7" fillId="0" borderId="4" xfId="1" applyFont="1" applyBorder="1" applyAlignment="1" applyProtection="1">
      <alignment vertical="center" wrapText="1"/>
      <protection locked="0"/>
    </xf>
    <xf numFmtId="0" fontId="7" fillId="0" borderId="10" xfId="1" applyFont="1" applyBorder="1" applyAlignment="1" applyProtection="1">
      <alignment vertical="center" wrapText="1"/>
      <protection locked="0"/>
    </xf>
    <xf numFmtId="0" fontId="7" fillId="0" borderId="11" xfId="1" applyFont="1" applyBorder="1" applyAlignment="1" applyProtection="1">
      <alignment vertical="center" wrapText="1"/>
      <protection locked="0"/>
    </xf>
    <xf numFmtId="0" fontId="6" fillId="3" borderId="4" xfId="1" applyFont="1" applyFill="1" applyBorder="1" applyAlignment="1"/>
    <xf numFmtId="0" fontId="1" fillId="3" borderId="10" xfId="1" applyFill="1" applyBorder="1" applyAlignment="1"/>
    <xf numFmtId="10" fontId="0" fillId="3" borderId="1" xfId="0" applyNumberFormat="1" applyFill="1" applyBorder="1"/>
    <xf numFmtId="0" fontId="0" fillId="3" borderId="1" xfId="0" applyFill="1" applyBorder="1"/>
    <xf numFmtId="0" fontId="0" fillId="3" borderId="1" xfId="0" applyFill="1" applyBorder="1" applyProtection="1">
      <protection locked="0"/>
    </xf>
    <xf numFmtId="165" fontId="0" fillId="0" borderId="0" xfId="0" applyNumberFormat="1"/>
    <xf numFmtId="0" fontId="3" fillId="2" borderId="1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0" fillId="0" borderId="13" xfId="0" applyFont="1" applyBorder="1"/>
    <xf numFmtId="14" fontId="0" fillId="0" borderId="13" xfId="0" applyNumberFormat="1" applyFont="1" applyBorder="1" applyAlignment="1">
      <alignment horizontal="right" wrapText="1"/>
    </xf>
    <xf numFmtId="20" fontId="0" fillId="0" borderId="13" xfId="0" applyNumberFormat="1" applyFont="1" applyBorder="1" applyAlignment="1">
      <alignment horizontal="right" wrapText="1"/>
    </xf>
    <xf numFmtId="0" fontId="0" fillId="0" borderId="13" xfId="0" applyFont="1" applyBorder="1" applyAlignment="1">
      <alignment wrapText="1"/>
    </xf>
    <xf numFmtId="0" fontId="0" fillId="0" borderId="13" xfId="0" applyFont="1" applyBorder="1" applyAlignment="1">
      <alignment vertical="center"/>
    </xf>
    <xf numFmtId="0" fontId="0" fillId="0" borderId="13" xfId="0" applyFont="1" applyBorder="1" applyAlignment="1">
      <alignment vertical="center" wrapText="1"/>
    </xf>
    <xf numFmtId="2" fontId="0" fillId="0" borderId="1" xfId="0" applyNumberFormat="1" applyBorder="1" applyProtection="1">
      <protection locked="0"/>
    </xf>
  </cellXfs>
  <cellStyles count="3">
    <cellStyle name="Normal" xfId="0" builtinId="0"/>
    <cellStyle name="Normal 2" xfId="1" xr:uid="{5EEC9441-955F-43CB-AA4C-96DB16C2CFD9}"/>
    <cellStyle name="Normal 2 2" xfId="2" xr:uid="{1BD68AC8-CAA7-4F4B-B84E-3900D3C3FC5C}"/>
  </cellStyles>
  <dxfs count="1">
    <dxf>
      <font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"/>
  <sheetViews>
    <sheetView workbookViewId="0">
      <selection activeCell="G3" sqref="G3"/>
    </sheetView>
  </sheetViews>
  <sheetFormatPr defaultRowHeight="14.4" x14ac:dyDescent="0.3"/>
  <cols>
    <col min="1" max="1" width="12.33203125" bestFit="1" customWidth="1"/>
    <col min="2" max="2" width="10.109375" bestFit="1" customWidth="1"/>
    <col min="3" max="3" width="10.21875" customWidth="1"/>
    <col min="4" max="4" width="10.109375" bestFit="1" customWidth="1"/>
    <col min="5" max="5" width="13.5546875" customWidth="1"/>
    <col min="6" max="6" width="15.21875" customWidth="1"/>
    <col min="7" max="7" width="54.88671875" bestFit="1" customWidth="1"/>
    <col min="10" max="10" width="12.33203125" bestFit="1" customWidth="1"/>
    <col min="15" max="15" width="11.88671875" bestFit="1" customWidth="1"/>
    <col min="16" max="16" width="42.88671875" bestFit="1" customWidth="1"/>
  </cols>
  <sheetData>
    <row r="1" spans="1:9" ht="18.600000000000001" customHeight="1" thickBot="1" x14ac:dyDescent="0.35">
      <c r="A1" s="4" t="s">
        <v>2</v>
      </c>
      <c r="B1" s="3" t="s">
        <v>3</v>
      </c>
      <c r="C1" s="114" t="s">
        <v>4</v>
      </c>
      <c r="D1" s="3" t="s">
        <v>5</v>
      </c>
      <c r="E1" s="114" t="s">
        <v>6</v>
      </c>
      <c r="F1" s="3" t="s">
        <v>7</v>
      </c>
      <c r="G1" s="4" t="s">
        <v>0</v>
      </c>
      <c r="H1" s="115" t="s">
        <v>12</v>
      </c>
      <c r="I1" s="115" t="s">
        <v>13</v>
      </c>
    </row>
    <row r="2" spans="1:9" ht="42" customHeight="1" thickBot="1" x14ac:dyDescent="0.35">
      <c r="A2" s="117">
        <v>46115</v>
      </c>
      <c r="B2" s="118">
        <v>0.75</v>
      </c>
      <c r="C2" s="118">
        <v>0.78125</v>
      </c>
      <c r="D2" s="118">
        <v>0</v>
      </c>
      <c r="E2" s="118">
        <v>3.125E-2</v>
      </c>
      <c r="F2" s="119" t="s">
        <v>8</v>
      </c>
      <c r="G2" s="120" t="s">
        <v>99</v>
      </c>
      <c r="H2" s="119"/>
      <c r="I2" s="116">
        <v>0</v>
      </c>
    </row>
    <row r="3" spans="1:9" ht="42" customHeight="1" thickBot="1" x14ac:dyDescent="0.35">
      <c r="A3" s="117">
        <v>46117</v>
      </c>
      <c r="B3" s="118">
        <v>0.70833333333333337</v>
      </c>
      <c r="C3" s="118">
        <v>0.76041666666666663</v>
      </c>
      <c r="D3" s="118">
        <v>3.472222222222222E-3</v>
      </c>
      <c r="E3" s="118">
        <v>4.8611111111111112E-2</v>
      </c>
      <c r="F3" s="119" t="s">
        <v>9</v>
      </c>
      <c r="G3" s="120" t="s">
        <v>93</v>
      </c>
      <c r="H3" s="119"/>
      <c r="I3" s="121">
        <v>85</v>
      </c>
    </row>
    <row r="4" spans="1:9" ht="42" customHeight="1" thickBot="1" x14ac:dyDescent="0.35">
      <c r="A4" s="117">
        <v>46118</v>
      </c>
      <c r="B4" s="118">
        <v>0.79166666666666663</v>
      </c>
      <c r="C4" s="118">
        <v>0.83333333333333337</v>
      </c>
      <c r="D4" s="118">
        <v>0</v>
      </c>
      <c r="E4" s="118">
        <v>4.1666666666666664E-2</v>
      </c>
      <c r="F4" s="119" t="s">
        <v>9</v>
      </c>
      <c r="G4" s="120" t="s">
        <v>94</v>
      </c>
      <c r="H4" s="119"/>
      <c r="I4" s="121">
        <v>60</v>
      </c>
    </row>
    <row r="5" spans="1:9" ht="42" customHeight="1" thickBot="1" x14ac:dyDescent="0.35">
      <c r="A5" s="117">
        <v>46120</v>
      </c>
      <c r="B5" s="118">
        <v>0.77083333333333337</v>
      </c>
      <c r="C5" s="118">
        <v>0.84375</v>
      </c>
      <c r="D5" s="118">
        <v>6.9444444444444441E-3</v>
      </c>
      <c r="E5" s="118">
        <v>6.5972222222222224E-2</v>
      </c>
      <c r="F5" s="119" t="s">
        <v>9</v>
      </c>
      <c r="G5" s="120" t="s">
        <v>95</v>
      </c>
      <c r="H5" s="119"/>
      <c r="I5" s="121">
        <v>120</v>
      </c>
    </row>
    <row r="6" spans="1:9" ht="42" customHeight="1" thickBot="1" x14ac:dyDescent="0.35">
      <c r="A6" s="117">
        <v>46122</v>
      </c>
      <c r="B6" s="118">
        <v>0.66666666666666663</v>
      </c>
      <c r="C6" s="118">
        <v>0.70833333333333337</v>
      </c>
      <c r="D6" s="118">
        <v>0</v>
      </c>
      <c r="E6" s="118">
        <v>4.1666666666666664E-2</v>
      </c>
      <c r="F6" s="119" t="s">
        <v>9</v>
      </c>
      <c r="G6" s="120" t="s">
        <v>96</v>
      </c>
      <c r="H6" s="119"/>
      <c r="I6" s="121">
        <v>75</v>
      </c>
    </row>
    <row r="7" spans="1:9" ht="42" customHeight="1" thickBot="1" x14ac:dyDescent="0.35">
      <c r="A7" s="117">
        <v>46124</v>
      </c>
      <c r="B7" s="118">
        <v>0.45833333333333331</v>
      </c>
      <c r="C7" s="118">
        <v>0.4861111111111111</v>
      </c>
      <c r="D7" s="118">
        <v>0</v>
      </c>
      <c r="E7" s="118">
        <v>2.7777777777777776E-2</v>
      </c>
      <c r="F7" s="119" t="s">
        <v>10</v>
      </c>
      <c r="G7" s="120" t="s">
        <v>97</v>
      </c>
      <c r="H7" s="119"/>
      <c r="I7" s="121">
        <v>15</v>
      </c>
    </row>
    <row r="8" spans="1:9" ht="42" customHeight="1" thickBot="1" x14ac:dyDescent="0.35">
      <c r="A8" s="117">
        <v>46125</v>
      </c>
      <c r="B8" s="118">
        <v>0.875</v>
      </c>
      <c r="C8" s="118">
        <v>0.88888888888888884</v>
      </c>
      <c r="D8" s="118">
        <v>0</v>
      </c>
      <c r="E8" s="118">
        <v>1.3888888888888888E-2</v>
      </c>
      <c r="F8" s="119" t="s">
        <v>11</v>
      </c>
      <c r="G8" s="119" t="s">
        <v>98</v>
      </c>
      <c r="H8" s="119" t="s">
        <v>14</v>
      </c>
      <c r="I8" s="121">
        <v>0</v>
      </c>
    </row>
    <row r="9" spans="1:9" ht="36.6" customHeight="1" x14ac:dyDescent="0.3">
      <c r="E9" s="113"/>
      <c r="H9" s="2"/>
      <c r="I9" s="2"/>
    </row>
    <row r="10" spans="1:9" ht="36.6" customHeight="1" x14ac:dyDescent="0.3"/>
    <row r="11" spans="1:9" ht="36.6" customHeight="1" x14ac:dyDescent="0.3"/>
    <row r="12" spans="1:9" x14ac:dyDescent="0.3">
      <c r="E1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CA173-8D70-4CAE-BE75-55502D20CE10}">
  <dimension ref="A1:G30"/>
  <sheetViews>
    <sheetView tabSelected="1" workbookViewId="0">
      <selection activeCell="B1" sqref="B1:F3"/>
    </sheetView>
  </sheetViews>
  <sheetFormatPr defaultRowHeight="14.4" x14ac:dyDescent="0.3"/>
  <cols>
    <col min="1" max="1" width="1.77734375" customWidth="1"/>
    <col min="2" max="2" width="17.6640625" customWidth="1"/>
    <col min="6" max="6" width="97.77734375" customWidth="1"/>
    <col min="7" max="7" width="1.88671875" customWidth="1"/>
  </cols>
  <sheetData>
    <row r="1" spans="1:7" x14ac:dyDescent="0.3">
      <c r="A1" s="5"/>
      <c r="B1" s="6" t="s">
        <v>15</v>
      </c>
      <c r="C1" s="7"/>
      <c r="D1" s="5"/>
      <c r="E1" s="6" t="s">
        <v>16</v>
      </c>
      <c r="F1" s="8"/>
      <c r="G1" s="5"/>
    </row>
    <row r="2" spans="1:7" x14ac:dyDescent="0.3">
      <c r="A2" s="5"/>
      <c r="B2" s="6" t="s">
        <v>17</v>
      </c>
      <c r="C2" s="9"/>
      <c r="D2" s="9"/>
      <c r="E2" s="9"/>
      <c r="F2" s="9"/>
      <c r="G2" s="5"/>
    </row>
    <row r="3" spans="1:7" x14ac:dyDescent="0.3">
      <c r="A3" s="5"/>
      <c r="B3" s="5"/>
      <c r="C3" s="6"/>
      <c r="D3" s="5"/>
      <c r="E3" s="6" t="s">
        <v>18</v>
      </c>
      <c r="F3" s="10"/>
      <c r="G3" s="5"/>
    </row>
    <row r="4" spans="1:7" x14ac:dyDescent="0.3">
      <c r="A4" s="5"/>
      <c r="B4" s="5"/>
      <c r="C4" s="5"/>
      <c r="D4" s="5"/>
      <c r="E4" s="5"/>
      <c r="F4" s="5"/>
      <c r="G4" s="5"/>
    </row>
    <row r="5" spans="1:7" ht="27" x14ac:dyDescent="0.3">
      <c r="A5" s="5"/>
      <c r="B5" s="11" t="s">
        <v>19</v>
      </c>
      <c r="C5" s="11" t="s">
        <v>20</v>
      </c>
      <c r="D5" s="11" t="s">
        <v>21</v>
      </c>
      <c r="E5" s="11" t="s">
        <v>22</v>
      </c>
      <c r="F5" s="11" t="s">
        <v>23</v>
      </c>
      <c r="G5" s="5"/>
    </row>
    <row r="6" spans="1:7" x14ac:dyDescent="0.3">
      <c r="A6" s="5"/>
      <c r="B6" s="12"/>
      <c r="C6" s="13"/>
      <c r="D6" s="13"/>
      <c r="E6" s="14" t="e">
        <f>C6/D6</f>
        <v>#DIV/0!</v>
      </c>
      <c r="F6" s="15"/>
      <c r="G6" s="5"/>
    </row>
    <row r="7" spans="1:7" x14ac:dyDescent="0.3">
      <c r="A7" s="5"/>
      <c r="B7" s="13"/>
      <c r="C7" s="13"/>
      <c r="D7" s="13"/>
      <c r="E7" s="14" t="e">
        <f t="shared" ref="E7:E29" si="0">C7/D7</f>
        <v>#DIV/0!</v>
      </c>
      <c r="F7" s="16"/>
      <c r="G7" s="5"/>
    </row>
    <row r="8" spans="1:7" x14ac:dyDescent="0.3">
      <c r="A8" s="5"/>
      <c r="B8" s="13"/>
      <c r="C8" s="13"/>
      <c r="D8" s="13"/>
      <c r="E8" s="14" t="e">
        <f t="shared" si="0"/>
        <v>#DIV/0!</v>
      </c>
      <c r="F8" s="16"/>
      <c r="G8" s="5"/>
    </row>
    <row r="9" spans="1:7" x14ac:dyDescent="0.3">
      <c r="A9" s="5"/>
      <c r="B9" s="13"/>
      <c r="C9" s="13"/>
      <c r="D9" s="13"/>
      <c r="E9" s="14" t="e">
        <f t="shared" si="0"/>
        <v>#DIV/0!</v>
      </c>
      <c r="F9" s="16"/>
      <c r="G9" s="5"/>
    </row>
    <row r="10" spans="1:7" x14ac:dyDescent="0.3">
      <c r="A10" s="5"/>
      <c r="B10" s="13"/>
      <c r="C10" s="13"/>
      <c r="D10" s="13"/>
      <c r="E10" s="14" t="e">
        <f t="shared" si="0"/>
        <v>#DIV/0!</v>
      </c>
      <c r="F10" s="16"/>
      <c r="G10" s="5"/>
    </row>
    <row r="11" spans="1:7" x14ac:dyDescent="0.3">
      <c r="A11" s="5"/>
      <c r="B11" s="13"/>
      <c r="C11" s="13"/>
      <c r="D11" s="13"/>
      <c r="E11" s="14" t="e">
        <f t="shared" si="0"/>
        <v>#DIV/0!</v>
      </c>
      <c r="F11" s="16"/>
      <c r="G11" s="5"/>
    </row>
    <row r="12" spans="1:7" x14ac:dyDescent="0.3">
      <c r="A12" s="5"/>
      <c r="B12" s="13"/>
      <c r="C12" s="13"/>
      <c r="D12" s="13"/>
      <c r="E12" s="14" t="e">
        <f t="shared" si="0"/>
        <v>#DIV/0!</v>
      </c>
      <c r="F12" s="16"/>
      <c r="G12" s="5"/>
    </row>
    <row r="13" spans="1:7" x14ac:dyDescent="0.3">
      <c r="A13" s="5"/>
      <c r="B13" s="13"/>
      <c r="C13" s="13"/>
      <c r="D13" s="13"/>
      <c r="E13" s="14" t="e">
        <f t="shared" si="0"/>
        <v>#DIV/0!</v>
      </c>
      <c r="F13" s="16"/>
      <c r="G13" s="5"/>
    </row>
    <row r="14" spans="1:7" x14ac:dyDescent="0.3">
      <c r="A14" s="5"/>
      <c r="B14" s="13"/>
      <c r="C14" s="13"/>
      <c r="D14" s="13"/>
      <c r="E14" s="14" t="e">
        <f t="shared" si="0"/>
        <v>#DIV/0!</v>
      </c>
      <c r="F14" s="16"/>
      <c r="G14" s="5"/>
    </row>
    <row r="15" spans="1:7" x14ac:dyDescent="0.3">
      <c r="A15" s="5"/>
      <c r="B15" s="13"/>
      <c r="C15" s="13"/>
      <c r="D15" s="13"/>
      <c r="E15" s="14" t="e">
        <f t="shared" si="0"/>
        <v>#DIV/0!</v>
      </c>
      <c r="F15" s="16"/>
      <c r="G15" s="5"/>
    </row>
    <row r="16" spans="1:7" x14ac:dyDescent="0.3">
      <c r="A16" s="5"/>
      <c r="B16" s="13"/>
      <c r="C16" s="13"/>
      <c r="D16" s="13"/>
      <c r="E16" s="14" t="e">
        <f t="shared" si="0"/>
        <v>#DIV/0!</v>
      </c>
      <c r="F16" s="16"/>
      <c r="G16" s="5"/>
    </row>
    <row r="17" spans="1:7" x14ac:dyDescent="0.3">
      <c r="A17" s="5"/>
      <c r="B17" s="13"/>
      <c r="C17" s="13"/>
      <c r="D17" s="13"/>
      <c r="E17" s="14" t="e">
        <f t="shared" si="0"/>
        <v>#DIV/0!</v>
      </c>
      <c r="F17" s="16"/>
      <c r="G17" s="5"/>
    </row>
    <row r="18" spans="1:7" x14ac:dyDescent="0.3">
      <c r="A18" s="5"/>
      <c r="B18" s="13"/>
      <c r="C18" s="13"/>
      <c r="D18" s="13"/>
      <c r="E18" s="14" t="e">
        <f t="shared" si="0"/>
        <v>#DIV/0!</v>
      </c>
      <c r="F18" s="16"/>
      <c r="G18" s="5"/>
    </row>
    <row r="19" spans="1:7" x14ac:dyDescent="0.3">
      <c r="A19" s="5"/>
      <c r="B19" s="13"/>
      <c r="C19" s="13"/>
      <c r="D19" s="13"/>
      <c r="E19" s="14" t="e">
        <f t="shared" si="0"/>
        <v>#DIV/0!</v>
      </c>
      <c r="F19" s="16"/>
      <c r="G19" s="5"/>
    </row>
    <row r="20" spans="1:7" x14ac:dyDescent="0.3">
      <c r="A20" s="5"/>
      <c r="B20" s="13"/>
      <c r="C20" s="13"/>
      <c r="D20" s="13"/>
      <c r="E20" s="14" t="e">
        <f t="shared" si="0"/>
        <v>#DIV/0!</v>
      </c>
      <c r="F20" s="16"/>
      <c r="G20" s="5"/>
    </row>
    <row r="21" spans="1:7" x14ac:dyDescent="0.3">
      <c r="A21" s="5"/>
      <c r="B21" s="13"/>
      <c r="C21" s="13"/>
      <c r="D21" s="13"/>
      <c r="E21" s="14" t="e">
        <f t="shared" si="0"/>
        <v>#DIV/0!</v>
      </c>
      <c r="F21" s="16"/>
      <c r="G21" s="5"/>
    </row>
    <row r="22" spans="1:7" x14ac:dyDescent="0.3">
      <c r="A22" s="5"/>
      <c r="B22" s="13"/>
      <c r="C22" s="13"/>
      <c r="D22" s="13"/>
      <c r="E22" s="14" t="e">
        <f t="shared" si="0"/>
        <v>#DIV/0!</v>
      </c>
      <c r="F22" s="16"/>
      <c r="G22" s="5"/>
    </row>
    <row r="23" spans="1:7" x14ac:dyDescent="0.3">
      <c r="A23" s="5"/>
      <c r="B23" s="13"/>
      <c r="C23" s="13"/>
      <c r="D23" s="13"/>
      <c r="E23" s="14" t="e">
        <f t="shared" si="0"/>
        <v>#DIV/0!</v>
      </c>
      <c r="F23" s="16"/>
      <c r="G23" s="5"/>
    </row>
    <row r="24" spans="1:7" x14ac:dyDescent="0.3">
      <c r="A24" s="5"/>
      <c r="B24" s="13"/>
      <c r="C24" s="13"/>
      <c r="D24" s="13"/>
      <c r="E24" s="14" t="e">
        <f t="shared" si="0"/>
        <v>#DIV/0!</v>
      </c>
      <c r="F24" s="16"/>
      <c r="G24" s="5"/>
    </row>
    <row r="25" spans="1:7" x14ac:dyDescent="0.3">
      <c r="A25" s="5"/>
      <c r="B25" s="13"/>
      <c r="C25" s="13"/>
      <c r="D25" s="13"/>
      <c r="E25" s="14" t="e">
        <f t="shared" si="0"/>
        <v>#DIV/0!</v>
      </c>
      <c r="F25" s="16"/>
      <c r="G25" s="5"/>
    </row>
    <row r="26" spans="1:7" x14ac:dyDescent="0.3">
      <c r="A26" s="5"/>
      <c r="B26" s="13"/>
      <c r="C26" s="13"/>
      <c r="D26" s="13"/>
      <c r="E26" s="14" t="e">
        <f t="shared" si="0"/>
        <v>#DIV/0!</v>
      </c>
      <c r="F26" s="16"/>
      <c r="G26" s="5"/>
    </row>
    <row r="27" spans="1:7" x14ac:dyDescent="0.3">
      <c r="A27" s="5"/>
      <c r="B27" s="13"/>
      <c r="C27" s="13"/>
      <c r="D27" s="13"/>
      <c r="E27" s="14" t="e">
        <f t="shared" si="0"/>
        <v>#DIV/0!</v>
      </c>
      <c r="F27" s="16"/>
      <c r="G27" s="5"/>
    </row>
    <row r="28" spans="1:7" x14ac:dyDescent="0.3">
      <c r="A28" s="5"/>
      <c r="B28" s="13"/>
      <c r="C28" s="13"/>
      <c r="D28" s="13"/>
      <c r="E28" s="14" t="e">
        <f t="shared" si="0"/>
        <v>#DIV/0!</v>
      </c>
      <c r="F28" s="16"/>
      <c r="G28" s="5"/>
    </row>
    <row r="29" spans="1:7" x14ac:dyDescent="0.3">
      <c r="A29" s="5"/>
      <c r="B29" s="13"/>
      <c r="C29" s="13"/>
      <c r="D29" s="13"/>
      <c r="E29" s="14" t="e">
        <f t="shared" si="0"/>
        <v>#DIV/0!</v>
      </c>
      <c r="F29" s="16"/>
      <c r="G29" s="5"/>
    </row>
    <row r="30" spans="1:7" x14ac:dyDescent="0.3">
      <c r="A30" s="5"/>
      <c r="B30" s="5"/>
      <c r="C30" s="5"/>
      <c r="D30" s="5"/>
      <c r="E30" s="5"/>
      <c r="F30" s="5"/>
      <c r="G30" s="5"/>
    </row>
  </sheetData>
  <mergeCells count="1">
    <mergeCell ref="C2:F2"/>
  </mergeCells>
  <dataValidations count="2">
    <dataValidation allowBlank="1" showErrorMessage="1" errorTitle="Klaida" error="Fazę reikia pasirinkti!" promptTitle="Pasirinkite" prompt="fazę" sqref="E6:E29" xr:uid="{602868B0-61C5-4453-B680-1D822E2217CC}"/>
    <dataValidation allowBlank="1" showInputMessage="1" showErrorMessage="1" errorTitle="Klaida" error="Fazę reikia pasirinkti!" promptTitle="Pasirinkite" prompt="fazę" sqref="E30" xr:uid="{C786E6C3-C886-433C-BDDD-DFBDCABF20FE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AAA47-E782-46A9-AB31-8DBC56731154}">
  <dimension ref="A1:I32"/>
  <sheetViews>
    <sheetView workbookViewId="0">
      <selection activeCell="B14" sqref="B14"/>
    </sheetView>
  </sheetViews>
  <sheetFormatPr defaultRowHeight="14.4" x14ac:dyDescent="0.3"/>
  <cols>
    <col min="1" max="1" width="1.6640625" customWidth="1"/>
    <col min="2" max="2" width="17.77734375" customWidth="1"/>
    <col min="3" max="3" width="13.77734375" customWidth="1"/>
    <col min="4" max="4" width="23.33203125" customWidth="1"/>
    <col min="5" max="5" width="25.33203125" customWidth="1"/>
    <col min="9" max="9" width="1.77734375" customWidth="1"/>
  </cols>
  <sheetData>
    <row r="1" spans="1:9" x14ac:dyDescent="0.3">
      <c r="A1" s="28"/>
      <c r="B1" s="19" t="s">
        <v>15</v>
      </c>
      <c r="C1" s="18"/>
      <c r="D1" s="20"/>
      <c r="E1" s="19" t="s">
        <v>16</v>
      </c>
      <c r="F1" s="38"/>
      <c r="G1" s="39"/>
      <c r="H1" s="40"/>
      <c r="I1" s="20"/>
    </row>
    <row r="2" spans="1:9" x14ac:dyDescent="0.3">
      <c r="A2" s="28"/>
      <c r="B2" s="19" t="s">
        <v>17</v>
      </c>
      <c r="C2" s="36"/>
      <c r="D2" s="36"/>
      <c r="E2" s="36"/>
      <c r="F2" s="36"/>
      <c r="G2" s="37"/>
      <c r="H2" s="37"/>
      <c r="I2" s="21"/>
    </row>
    <row r="3" spans="1:9" x14ac:dyDescent="0.3">
      <c r="A3" s="28"/>
      <c r="B3" s="19" t="s">
        <v>24</v>
      </c>
      <c r="C3" s="36"/>
      <c r="D3" s="37"/>
      <c r="E3" s="19" t="s">
        <v>18</v>
      </c>
      <c r="F3" s="41"/>
      <c r="G3" s="42"/>
      <c r="H3" s="43"/>
      <c r="I3" s="22"/>
    </row>
    <row r="4" spans="1:9" x14ac:dyDescent="0.3">
      <c r="A4" s="28"/>
      <c r="B4" s="20"/>
      <c r="C4" s="20"/>
      <c r="D4" s="20"/>
      <c r="E4" s="20"/>
      <c r="F4" s="20"/>
      <c r="G4" s="20"/>
      <c r="H4" s="20"/>
      <c r="I4" s="20"/>
    </row>
    <row r="5" spans="1:9" ht="40.200000000000003" x14ac:dyDescent="0.3">
      <c r="A5" s="28"/>
      <c r="B5" s="23" t="s">
        <v>19</v>
      </c>
      <c r="C5" s="23" t="s">
        <v>21</v>
      </c>
      <c r="D5" s="23" t="s">
        <v>25</v>
      </c>
      <c r="E5" s="23" t="s">
        <v>26</v>
      </c>
      <c r="F5" s="23" t="s">
        <v>27</v>
      </c>
      <c r="G5" s="23" t="s">
        <v>28</v>
      </c>
      <c r="H5" s="23" t="s">
        <v>29</v>
      </c>
      <c r="I5" s="20"/>
    </row>
    <row r="6" spans="1:9" x14ac:dyDescent="0.3">
      <c r="A6" s="28"/>
      <c r="B6" s="29"/>
      <c r="C6" s="30"/>
      <c r="D6" s="31"/>
      <c r="E6" s="24"/>
      <c r="F6" s="24"/>
      <c r="G6" s="24"/>
      <c r="H6" s="24"/>
      <c r="I6" s="20"/>
    </row>
    <row r="7" spans="1:9" x14ac:dyDescent="0.3">
      <c r="A7" s="28"/>
      <c r="B7" s="30"/>
      <c r="C7" s="30"/>
      <c r="D7" s="32"/>
      <c r="E7" s="25"/>
      <c r="F7" s="25"/>
      <c r="G7" s="25"/>
      <c r="H7" s="25"/>
      <c r="I7" s="20"/>
    </row>
    <row r="8" spans="1:9" x14ac:dyDescent="0.3">
      <c r="A8" s="28"/>
      <c r="B8" s="30"/>
      <c r="C8" s="30"/>
      <c r="D8" s="32"/>
      <c r="E8" s="25"/>
      <c r="F8" s="25"/>
      <c r="G8" s="25"/>
      <c r="H8" s="25"/>
      <c r="I8" s="20"/>
    </row>
    <row r="9" spans="1:9" x14ac:dyDescent="0.3">
      <c r="A9" s="28"/>
      <c r="B9" s="30"/>
      <c r="C9" s="30"/>
      <c r="D9" s="32"/>
      <c r="E9" s="25"/>
      <c r="F9" s="25"/>
      <c r="G9" s="25"/>
      <c r="H9" s="25"/>
      <c r="I9" s="20"/>
    </row>
    <row r="10" spans="1:9" x14ac:dyDescent="0.3">
      <c r="A10" s="28"/>
      <c r="B10" s="30"/>
      <c r="C10" s="30"/>
      <c r="D10" s="32"/>
      <c r="E10" s="25"/>
      <c r="F10" s="25"/>
      <c r="G10" s="25"/>
      <c r="H10" s="25"/>
      <c r="I10" s="20"/>
    </row>
    <row r="11" spans="1:9" x14ac:dyDescent="0.3">
      <c r="A11" s="28"/>
      <c r="B11" s="30"/>
      <c r="C11" s="30"/>
      <c r="D11" s="32"/>
      <c r="E11" s="25"/>
      <c r="F11" s="25"/>
      <c r="G11" s="25"/>
      <c r="H11" s="25"/>
      <c r="I11" s="20"/>
    </row>
    <row r="12" spans="1:9" x14ac:dyDescent="0.3">
      <c r="A12" s="28"/>
      <c r="B12" s="30"/>
      <c r="C12" s="30"/>
      <c r="D12" s="32"/>
      <c r="E12" s="25"/>
      <c r="F12" s="25"/>
      <c r="G12" s="25"/>
      <c r="H12" s="25"/>
      <c r="I12" s="20"/>
    </row>
    <row r="13" spans="1:9" x14ac:dyDescent="0.3">
      <c r="A13" s="28"/>
      <c r="B13" s="30"/>
      <c r="C13" s="30"/>
      <c r="D13" s="32"/>
      <c r="E13" s="25"/>
      <c r="F13" s="25"/>
      <c r="G13" s="25"/>
      <c r="H13" s="25"/>
      <c r="I13" s="20"/>
    </row>
    <row r="14" spans="1:9" x14ac:dyDescent="0.3">
      <c r="A14" s="28"/>
      <c r="B14" s="30"/>
      <c r="C14" s="30"/>
      <c r="D14" s="32"/>
      <c r="E14" s="25"/>
      <c r="F14" s="25"/>
      <c r="G14" s="25"/>
      <c r="H14" s="25"/>
      <c r="I14" s="20"/>
    </row>
    <row r="15" spans="1:9" x14ac:dyDescent="0.3">
      <c r="A15" s="28"/>
      <c r="B15" s="30"/>
      <c r="C15" s="30"/>
      <c r="D15" s="32"/>
      <c r="E15" s="25"/>
      <c r="F15" s="25"/>
      <c r="G15" s="25"/>
      <c r="H15" s="25"/>
      <c r="I15" s="20"/>
    </row>
    <row r="16" spans="1:9" x14ac:dyDescent="0.3">
      <c r="A16" s="28"/>
      <c r="B16" s="30"/>
      <c r="C16" s="30"/>
      <c r="D16" s="32"/>
      <c r="E16" s="25"/>
      <c r="F16" s="25"/>
      <c r="G16" s="25"/>
      <c r="H16" s="25"/>
      <c r="I16" s="20"/>
    </row>
    <row r="17" spans="1:9" x14ac:dyDescent="0.3">
      <c r="A17" s="28"/>
      <c r="B17" s="30"/>
      <c r="C17" s="30"/>
      <c r="D17" s="32"/>
      <c r="E17" s="25"/>
      <c r="F17" s="25"/>
      <c r="G17" s="25"/>
      <c r="H17" s="25"/>
      <c r="I17" s="20"/>
    </row>
    <row r="18" spans="1:9" x14ac:dyDescent="0.3">
      <c r="A18" s="28"/>
      <c r="B18" s="30"/>
      <c r="C18" s="30"/>
      <c r="D18" s="32"/>
      <c r="E18" s="25"/>
      <c r="F18" s="25"/>
      <c r="G18" s="25"/>
      <c r="H18" s="25"/>
      <c r="I18" s="20"/>
    </row>
    <row r="19" spans="1:9" x14ac:dyDescent="0.3">
      <c r="A19" s="28"/>
      <c r="B19" s="30"/>
      <c r="C19" s="30"/>
      <c r="D19" s="32"/>
      <c r="E19" s="25"/>
      <c r="F19" s="25"/>
      <c r="G19" s="25"/>
      <c r="H19" s="25"/>
      <c r="I19" s="20"/>
    </row>
    <row r="20" spans="1:9" x14ac:dyDescent="0.3">
      <c r="A20" s="28"/>
      <c r="B20" s="30"/>
      <c r="C20" s="30"/>
      <c r="D20" s="32"/>
      <c r="E20" s="25"/>
      <c r="F20" s="25"/>
      <c r="G20" s="25"/>
      <c r="H20" s="25"/>
      <c r="I20" s="20"/>
    </row>
    <row r="21" spans="1:9" x14ac:dyDescent="0.3">
      <c r="A21" s="28"/>
      <c r="B21" s="30"/>
      <c r="C21" s="30"/>
      <c r="D21" s="32"/>
      <c r="E21" s="25"/>
      <c r="F21" s="25"/>
      <c r="G21" s="25"/>
      <c r="H21" s="25"/>
      <c r="I21" s="20"/>
    </row>
    <row r="22" spans="1:9" x14ac:dyDescent="0.3">
      <c r="A22" s="28"/>
      <c r="B22" s="30"/>
      <c r="C22" s="30"/>
      <c r="D22" s="32"/>
      <c r="E22" s="25"/>
      <c r="F22" s="25"/>
      <c r="G22" s="25"/>
      <c r="H22" s="25"/>
      <c r="I22" s="20"/>
    </row>
    <row r="23" spans="1:9" x14ac:dyDescent="0.3">
      <c r="A23" s="28"/>
      <c r="B23" s="30"/>
      <c r="C23" s="30"/>
      <c r="D23" s="32"/>
      <c r="E23" s="25"/>
      <c r="F23" s="25"/>
      <c r="G23" s="25"/>
      <c r="H23" s="25"/>
      <c r="I23" s="20"/>
    </row>
    <row r="24" spans="1:9" x14ac:dyDescent="0.3">
      <c r="A24" s="28"/>
      <c r="B24" s="30"/>
      <c r="C24" s="30"/>
      <c r="D24" s="32"/>
      <c r="E24" s="25"/>
      <c r="F24" s="25"/>
      <c r="G24" s="25"/>
      <c r="H24" s="25"/>
      <c r="I24" s="20"/>
    </row>
    <row r="25" spans="1:9" x14ac:dyDescent="0.3">
      <c r="A25" s="28"/>
      <c r="B25" s="30"/>
      <c r="C25" s="30"/>
      <c r="D25" s="32"/>
      <c r="E25" s="25"/>
      <c r="F25" s="25"/>
      <c r="G25" s="25"/>
      <c r="H25" s="25"/>
      <c r="I25" s="20"/>
    </row>
    <row r="26" spans="1:9" x14ac:dyDescent="0.3">
      <c r="A26" s="28"/>
      <c r="B26" s="30"/>
      <c r="C26" s="30"/>
      <c r="D26" s="32"/>
      <c r="E26" s="25"/>
      <c r="F26" s="25"/>
      <c r="G26" s="25"/>
      <c r="H26" s="25"/>
      <c r="I26" s="20"/>
    </row>
    <row r="27" spans="1:9" x14ac:dyDescent="0.3">
      <c r="A27" s="28"/>
      <c r="B27" s="30"/>
      <c r="C27" s="30"/>
      <c r="D27" s="32"/>
      <c r="E27" s="25"/>
      <c r="F27" s="25"/>
      <c r="G27" s="25"/>
      <c r="H27" s="25"/>
      <c r="I27" s="20"/>
    </row>
    <row r="28" spans="1:9" x14ac:dyDescent="0.3">
      <c r="A28" s="28"/>
      <c r="B28" s="30"/>
      <c r="C28" s="30"/>
      <c r="D28" s="32"/>
      <c r="E28" s="25"/>
      <c r="F28" s="25"/>
      <c r="G28" s="25"/>
      <c r="H28" s="25"/>
      <c r="I28" s="20"/>
    </row>
    <row r="29" spans="1:9" x14ac:dyDescent="0.3">
      <c r="A29" s="28"/>
      <c r="B29" s="17" t="s">
        <v>30</v>
      </c>
      <c r="C29" s="33"/>
      <c r="D29" s="33"/>
      <c r="E29" s="34"/>
      <c r="F29" s="26">
        <v>0</v>
      </c>
      <c r="G29" s="26">
        <v>0</v>
      </c>
      <c r="H29" s="26">
        <v>0</v>
      </c>
      <c r="I29" s="20"/>
    </row>
    <row r="30" spans="1:9" x14ac:dyDescent="0.3">
      <c r="A30" s="28"/>
      <c r="B30" s="27" t="s">
        <v>31</v>
      </c>
      <c r="C30" s="28"/>
      <c r="D30" s="28"/>
      <c r="E30" s="28"/>
      <c r="F30" s="28"/>
      <c r="G30" s="28"/>
      <c r="H30" s="28"/>
      <c r="I30" s="28"/>
    </row>
    <row r="31" spans="1:9" ht="55.2" customHeight="1" x14ac:dyDescent="0.3">
      <c r="A31" s="28"/>
      <c r="B31" s="35"/>
      <c r="C31" s="35"/>
      <c r="D31" s="35"/>
      <c r="E31" s="35"/>
      <c r="F31" s="35"/>
      <c r="G31" s="35"/>
      <c r="H31" s="35"/>
      <c r="I31" s="28"/>
    </row>
    <row r="32" spans="1:9" x14ac:dyDescent="0.3">
      <c r="A32" s="28"/>
      <c r="B32" s="28"/>
      <c r="C32" s="28"/>
      <c r="D32" s="28"/>
      <c r="E32" s="28"/>
      <c r="F32" s="28"/>
      <c r="G32" s="28"/>
      <c r="H32" s="28"/>
      <c r="I32" s="28"/>
    </row>
  </sheetData>
  <mergeCells count="6">
    <mergeCell ref="B29:E29"/>
    <mergeCell ref="B31:H31"/>
    <mergeCell ref="C3:D3"/>
    <mergeCell ref="F1:H1"/>
    <mergeCell ref="C2:H2"/>
    <mergeCell ref="F3: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CE825-0309-431F-A255-3B27E4BB8566}">
  <dimension ref="A1:G43"/>
  <sheetViews>
    <sheetView workbookViewId="0">
      <selection activeCell="B27" sqref="B27"/>
    </sheetView>
  </sheetViews>
  <sheetFormatPr defaultRowHeight="14.4" x14ac:dyDescent="0.3"/>
  <cols>
    <col min="1" max="1" width="2.21875" customWidth="1"/>
    <col min="2" max="2" width="19.77734375" customWidth="1"/>
    <col min="3" max="3" width="14.6640625" customWidth="1"/>
    <col min="4" max="4" width="15.44140625" customWidth="1"/>
    <col min="5" max="5" width="17" customWidth="1"/>
    <col min="6" max="6" width="14.44140625" customWidth="1"/>
    <col min="7" max="7" width="2.33203125" customWidth="1"/>
  </cols>
  <sheetData>
    <row r="1" spans="1:7" x14ac:dyDescent="0.3">
      <c r="A1" s="73" t="s">
        <v>65</v>
      </c>
      <c r="B1" s="73"/>
      <c r="C1" s="73"/>
      <c r="D1" s="73"/>
      <c r="E1" s="73"/>
      <c r="F1" s="73"/>
      <c r="G1" s="73"/>
    </row>
    <row r="2" spans="1:7" x14ac:dyDescent="0.3">
      <c r="A2" s="79"/>
      <c r="B2" s="75" t="s">
        <v>15</v>
      </c>
      <c r="C2" s="76"/>
      <c r="D2" s="75" t="s">
        <v>16</v>
      </c>
      <c r="E2" s="74"/>
      <c r="F2" s="78"/>
      <c r="G2" s="79"/>
    </row>
    <row r="3" spans="1:7" x14ac:dyDescent="0.3">
      <c r="A3" s="79"/>
      <c r="B3" s="75" t="s">
        <v>17</v>
      </c>
      <c r="C3" s="44" t="s">
        <v>66</v>
      </c>
      <c r="D3" s="103"/>
      <c r="E3" s="103"/>
      <c r="F3" s="104"/>
      <c r="G3" s="79"/>
    </row>
    <row r="4" spans="1:7" x14ac:dyDescent="0.3">
      <c r="A4" s="79"/>
      <c r="B4" s="75" t="s">
        <v>57</v>
      </c>
      <c r="C4" s="80"/>
      <c r="D4" s="77"/>
      <c r="E4" s="75" t="s">
        <v>18</v>
      </c>
      <c r="F4" s="80"/>
      <c r="G4" s="79"/>
    </row>
    <row r="5" spans="1:7" ht="27" x14ac:dyDescent="0.3">
      <c r="A5" s="79"/>
      <c r="B5" s="81" t="s">
        <v>67</v>
      </c>
      <c r="C5" s="105"/>
      <c r="D5" s="106"/>
      <c r="E5" s="106"/>
      <c r="F5" s="107"/>
      <c r="G5" s="79"/>
    </row>
    <row r="6" spans="1:7" ht="10.199999999999999" customHeight="1" x14ac:dyDescent="0.3">
      <c r="A6" s="79"/>
      <c r="B6" s="79"/>
      <c r="C6" s="79"/>
      <c r="D6" s="79"/>
      <c r="E6" s="79"/>
      <c r="F6" s="79"/>
      <c r="G6" s="79"/>
    </row>
    <row r="7" spans="1:7" x14ac:dyDescent="0.3">
      <c r="A7" s="99" t="s">
        <v>68</v>
      </c>
      <c r="B7" s="100"/>
      <c r="C7" s="88" t="s">
        <v>69</v>
      </c>
      <c r="D7" s="88" t="s">
        <v>70</v>
      </c>
      <c r="E7" s="88" t="s">
        <v>71</v>
      </c>
      <c r="F7" s="93"/>
      <c r="G7" s="79"/>
    </row>
    <row r="8" spans="1:7" x14ac:dyDescent="0.3">
      <c r="A8" s="82"/>
      <c r="B8" s="83" t="s">
        <v>22</v>
      </c>
      <c r="C8" s="122">
        <v>10</v>
      </c>
      <c r="D8" s="112" t="e">
        <f>D22/D11</f>
        <v>#DIV/0!</v>
      </c>
      <c r="E8" s="112" t="e">
        <f>E22/E11</f>
        <v>#DIV/0!</v>
      </c>
      <c r="F8" s="94"/>
      <c r="G8" s="79"/>
    </row>
    <row r="9" spans="1:7" x14ac:dyDescent="0.3">
      <c r="A9" s="82"/>
      <c r="B9" s="83" t="s">
        <v>72</v>
      </c>
      <c r="C9" s="112">
        <f>60/C8</f>
        <v>6</v>
      </c>
      <c r="D9" s="112" t="e">
        <f>60/D8</f>
        <v>#DIV/0!</v>
      </c>
      <c r="E9" s="112" t="e">
        <f>60/E8</f>
        <v>#DIV/0!</v>
      </c>
      <c r="F9" s="94"/>
      <c r="G9" s="79"/>
    </row>
    <row r="10" spans="1:7" x14ac:dyDescent="0.3">
      <c r="A10" s="108" t="s">
        <v>73</v>
      </c>
      <c r="B10" s="109"/>
      <c r="C10" s="103"/>
      <c r="D10" s="103"/>
      <c r="E10" s="104"/>
      <c r="F10" s="93"/>
      <c r="G10" s="79"/>
    </row>
    <row r="11" spans="1:7" x14ac:dyDescent="0.3">
      <c r="A11" s="82"/>
      <c r="B11" s="83" t="s">
        <v>74</v>
      </c>
      <c r="C11" s="74"/>
      <c r="D11" s="95"/>
      <c r="E11" s="95"/>
      <c r="F11" s="94"/>
      <c r="G11" s="79"/>
    </row>
    <row r="12" spans="1:7" x14ac:dyDescent="0.3">
      <c r="A12" s="82"/>
      <c r="B12" s="83" t="s">
        <v>75</v>
      </c>
      <c r="C12" s="74"/>
      <c r="D12" s="96"/>
      <c r="E12" s="96"/>
      <c r="F12" s="94"/>
      <c r="G12" s="79"/>
    </row>
    <row r="13" spans="1:7" x14ac:dyDescent="0.3">
      <c r="A13" s="82"/>
      <c r="B13" s="83" t="s">
        <v>76</v>
      </c>
      <c r="C13" s="74"/>
      <c r="D13" s="96"/>
      <c r="E13" s="96"/>
      <c r="F13" s="94"/>
      <c r="G13" s="79"/>
    </row>
    <row r="14" spans="1:7" x14ac:dyDescent="0.3">
      <c r="A14" s="99" t="s">
        <v>77</v>
      </c>
      <c r="B14" s="100"/>
      <c r="C14" s="88" t="s">
        <v>69</v>
      </c>
      <c r="D14" s="88" t="s">
        <v>70</v>
      </c>
      <c r="E14" s="88" t="s">
        <v>71</v>
      </c>
      <c r="F14" s="88" t="s">
        <v>78</v>
      </c>
      <c r="G14" s="79"/>
    </row>
    <row r="15" spans="1:7" x14ac:dyDescent="0.3">
      <c r="A15" s="82"/>
      <c r="B15" s="83" t="s">
        <v>8</v>
      </c>
      <c r="C15" s="74"/>
      <c r="D15" s="74"/>
      <c r="E15" s="74"/>
      <c r="F15" s="110" t="e">
        <f>E15/E22</f>
        <v>#DIV/0!</v>
      </c>
      <c r="G15" s="79"/>
    </row>
    <row r="16" spans="1:7" x14ac:dyDescent="0.3">
      <c r="A16" s="82"/>
      <c r="B16" s="83" t="s">
        <v>79</v>
      </c>
      <c r="C16" s="74"/>
      <c r="D16" s="74"/>
      <c r="E16" s="74"/>
      <c r="F16" s="110" t="e">
        <f>E16/E22</f>
        <v>#DIV/0!</v>
      </c>
      <c r="G16" s="79"/>
    </row>
    <row r="17" spans="1:7" x14ac:dyDescent="0.3">
      <c r="A17" s="82"/>
      <c r="B17" s="83" t="s">
        <v>80</v>
      </c>
      <c r="C17" s="74"/>
      <c r="D17" s="74"/>
      <c r="E17" s="74"/>
      <c r="F17" s="110" t="e">
        <f>E17/E22</f>
        <v>#DIV/0!</v>
      </c>
      <c r="G17" s="79"/>
    </row>
    <row r="18" spans="1:7" x14ac:dyDescent="0.3">
      <c r="A18" s="82"/>
      <c r="B18" s="85" t="s">
        <v>81</v>
      </c>
      <c r="C18" s="74"/>
      <c r="D18" s="74"/>
      <c r="E18" s="74"/>
      <c r="F18" s="110" t="e">
        <f>E18/E22</f>
        <v>#DIV/0!</v>
      </c>
      <c r="G18" s="79"/>
    </row>
    <row r="19" spans="1:7" x14ac:dyDescent="0.3">
      <c r="A19" s="82"/>
      <c r="B19" s="83" t="s">
        <v>82</v>
      </c>
      <c r="C19" s="74"/>
      <c r="D19" s="74"/>
      <c r="E19" s="74"/>
      <c r="F19" s="110" t="e">
        <f>E19/E22</f>
        <v>#DIV/0!</v>
      </c>
      <c r="G19" s="79"/>
    </row>
    <row r="20" spans="1:7" x14ac:dyDescent="0.3">
      <c r="A20" s="82"/>
      <c r="B20" s="83" t="s">
        <v>10</v>
      </c>
      <c r="C20" s="74"/>
      <c r="D20" s="74"/>
      <c r="E20" s="74"/>
      <c r="F20" s="110" t="e">
        <f>E20/E22</f>
        <v>#DIV/0!</v>
      </c>
      <c r="G20" s="79"/>
    </row>
    <row r="21" spans="1:7" x14ac:dyDescent="0.3">
      <c r="A21" s="82"/>
      <c r="B21" s="83" t="s">
        <v>83</v>
      </c>
      <c r="C21" s="74"/>
      <c r="D21" s="74"/>
      <c r="E21" s="74"/>
      <c r="F21" s="110" t="e">
        <f>E21/E22</f>
        <v>#DIV/0!</v>
      </c>
      <c r="G21" s="79"/>
    </row>
    <row r="22" spans="1:7" x14ac:dyDescent="0.3">
      <c r="A22" s="82"/>
      <c r="B22" s="84" t="s">
        <v>84</v>
      </c>
      <c r="C22" s="111">
        <f>SUM(C15:C21)</f>
        <v>0</v>
      </c>
      <c r="D22" s="111">
        <f>SUM(D15:D21)</f>
        <v>0</v>
      </c>
      <c r="E22" s="111">
        <f>SUM(E15:E21)</f>
        <v>0</v>
      </c>
      <c r="F22" s="110" t="e">
        <f>SUM(F15:F21)</f>
        <v>#DIV/0!</v>
      </c>
      <c r="G22" s="79"/>
    </row>
    <row r="23" spans="1:7" x14ac:dyDescent="0.3">
      <c r="A23" s="82"/>
      <c r="B23" s="97" t="s">
        <v>85</v>
      </c>
      <c r="C23" s="111">
        <f>ROUND(C11*C8,0)</f>
        <v>0</v>
      </c>
      <c r="D23" s="96"/>
      <c r="E23" s="96"/>
      <c r="F23" s="96"/>
      <c r="G23" s="79"/>
    </row>
    <row r="24" spans="1:7" x14ac:dyDescent="0.3">
      <c r="A24" s="82"/>
      <c r="B24" s="97" t="s">
        <v>86</v>
      </c>
      <c r="C24" s="111">
        <f>ROUND(C12*C8,0)</f>
        <v>0</v>
      </c>
      <c r="D24" s="96"/>
      <c r="E24" s="96"/>
      <c r="F24" s="96"/>
      <c r="G24" s="79"/>
    </row>
    <row r="25" spans="1:7" x14ac:dyDescent="0.3">
      <c r="A25" s="82"/>
      <c r="B25" s="97" t="s">
        <v>87</v>
      </c>
      <c r="C25" s="111">
        <f>ROUND(C13*C8,0)</f>
        <v>0</v>
      </c>
      <c r="D25" s="96"/>
      <c r="E25" s="96"/>
      <c r="F25" s="96"/>
      <c r="G25" s="79"/>
    </row>
    <row r="26" spans="1:7" x14ac:dyDescent="0.3">
      <c r="A26" s="101" t="s">
        <v>88</v>
      </c>
      <c r="B26" s="102"/>
      <c r="C26" s="92"/>
      <c r="D26" s="98" t="s">
        <v>70</v>
      </c>
      <c r="E26" s="98" t="s">
        <v>71</v>
      </c>
      <c r="F26" s="98" t="s">
        <v>78</v>
      </c>
      <c r="G26" s="79"/>
    </row>
    <row r="27" spans="1:7" x14ac:dyDescent="0.3">
      <c r="A27" s="82"/>
      <c r="B27" s="85" t="s">
        <v>8</v>
      </c>
      <c r="C27" s="91" t="s">
        <v>89</v>
      </c>
      <c r="D27" s="74"/>
      <c r="E27" s="74"/>
      <c r="F27" s="110" t="e">
        <f>E27/E33</f>
        <v>#DIV/0!</v>
      </c>
      <c r="G27" s="79"/>
    </row>
    <row r="28" spans="1:7" x14ac:dyDescent="0.3">
      <c r="A28" s="82"/>
      <c r="B28" s="85" t="s">
        <v>79</v>
      </c>
      <c r="C28" s="91" t="s">
        <v>89</v>
      </c>
      <c r="D28" s="74"/>
      <c r="E28" s="74"/>
      <c r="F28" s="110" t="e">
        <f>E28/E33</f>
        <v>#DIV/0!</v>
      </c>
      <c r="G28" s="79"/>
    </row>
    <row r="29" spans="1:7" x14ac:dyDescent="0.3">
      <c r="A29" s="82"/>
      <c r="B29" s="85" t="s">
        <v>80</v>
      </c>
      <c r="C29" s="91" t="s">
        <v>89</v>
      </c>
      <c r="D29" s="74"/>
      <c r="E29" s="74"/>
      <c r="F29" s="110" t="e">
        <f>E29/E33</f>
        <v>#DIV/0!</v>
      </c>
      <c r="G29" s="79"/>
    </row>
    <row r="30" spans="1:7" x14ac:dyDescent="0.3">
      <c r="A30" s="82"/>
      <c r="B30" s="85" t="s">
        <v>81</v>
      </c>
      <c r="C30" s="91" t="s">
        <v>89</v>
      </c>
      <c r="D30" s="74"/>
      <c r="E30" s="74"/>
      <c r="F30" s="110" t="e">
        <f>E30/E33</f>
        <v>#DIV/0!</v>
      </c>
      <c r="G30" s="79"/>
    </row>
    <row r="31" spans="1:7" x14ac:dyDescent="0.3">
      <c r="A31" s="82"/>
      <c r="B31" s="85" t="s">
        <v>82</v>
      </c>
      <c r="C31" s="91" t="s">
        <v>89</v>
      </c>
      <c r="D31" s="74"/>
      <c r="E31" s="74"/>
      <c r="F31" s="110" t="e">
        <f>E31/E33</f>
        <v>#DIV/0!</v>
      </c>
      <c r="G31" s="79"/>
    </row>
    <row r="32" spans="1:7" x14ac:dyDescent="0.3">
      <c r="A32" s="82"/>
      <c r="B32" s="85" t="s">
        <v>10</v>
      </c>
      <c r="C32" s="91" t="s">
        <v>89</v>
      </c>
      <c r="D32" s="74"/>
      <c r="E32" s="74"/>
      <c r="F32" s="110" t="e">
        <f>E32/E33</f>
        <v>#DIV/0!</v>
      </c>
      <c r="G32" s="79"/>
    </row>
    <row r="33" spans="1:7" x14ac:dyDescent="0.3">
      <c r="A33" s="82"/>
      <c r="B33" s="84" t="s">
        <v>90</v>
      </c>
      <c r="C33" s="91" t="s">
        <v>89</v>
      </c>
      <c r="D33" s="111">
        <f>SUM(D27:D32)</f>
        <v>0</v>
      </c>
      <c r="E33" s="111">
        <f>SUM(E27:E32)</f>
        <v>0</v>
      </c>
      <c r="F33" s="110" t="e">
        <f>SUM(F27:F32)</f>
        <v>#DIV/0!</v>
      </c>
      <c r="G33" s="79"/>
    </row>
    <row r="34" spans="1:7" x14ac:dyDescent="0.3">
      <c r="A34" s="101" t="s">
        <v>91</v>
      </c>
      <c r="B34" s="102"/>
      <c r="C34" s="89"/>
      <c r="D34" s="87" t="s">
        <v>70</v>
      </c>
      <c r="E34" s="87" t="s">
        <v>71</v>
      </c>
      <c r="F34" s="87" t="s">
        <v>78</v>
      </c>
      <c r="G34" s="79"/>
    </row>
    <row r="35" spans="1:7" x14ac:dyDescent="0.3">
      <c r="A35" s="82"/>
      <c r="B35" s="83" t="s">
        <v>8</v>
      </c>
      <c r="C35" s="91" t="s">
        <v>89</v>
      </c>
      <c r="D35" s="74"/>
      <c r="E35" s="74"/>
      <c r="F35" s="110" t="e">
        <f>E35/E41</f>
        <v>#DIV/0!</v>
      </c>
      <c r="G35" s="79"/>
    </row>
    <row r="36" spans="1:7" x14ac:dyDescent="0.3">
      <c r="A36" s="82"/>
      <c r="B36" s="83" t="s">
        <v>79</v>
      </c>
      <c r="C36" s="91" t="s">
        <v>89</v>
      </c>
      <c r="D36" s="74"/>
      <c r="E36" s="74"/>
      <c r="F36" s="110" t="e">
        <f>E36/E41</f>
        <v>#DIV/0!</v>
      </c>
      <c r="G36" s="79"/>
    </row>
    <row r="37" spans="1:7" x14ac:dyDescent="0.3">
      <c r="A37" s="82"/>
      <c r="B37" s="83" t="s">
        <v>80</v>
      </c>
      <c r="C37" s="91" t="s">
        <v>89</v>
      </c>
      <c r="D37" s="74"/>
      <c r="E37" s="74"/>
      <c r="F37" s="110" t="e">
        <f>E37/E41</f>
        <v>#DIV/0!</v>
      </c>
      <c r="G37" s="79"/>
    </row>
    <row r="38" spans="1:7" x14ac:dyDescent="0.3">
      <c r="A38" s="82"/>
      <c r="B38" s="85" t="s">
        <v>81</v>
      </c>
      <c r="C38" s="91" t="s">
        <v>89</v>
      </c>
      <c r="D38" s="74"/>
      <c r="E38" s="74"/>
      <c r="F38" s="110" t="e">
        <f>E38/E41</f>
        <v>#DIV/0!</v>
      </c>
      <c r="G38" s="79"/>
    </row>
    <row r="39" spans="1:7" x14ac:dyDescent="0.3">
      <c r="A39" s="82"/>
      <c r="B39" s="83" t="s">
        <v>82</v>
      </c>
      <c r="C39" s="91" t="s">
        <v>89</v>
      </c>
      <c r="D39" s="74"/>
      <c r="E39" s="74"/>
      <c r="F39" s="110" t="e">
        <f>E39/E41</f>
        <v>#DIV/0!</v>
      </c>
      <c r="G39" s="79"/>
    </row>
    <row r="40" spans="1:7" x14ac:dyDescent="0.3">
      <c r="A40" s="82"/>
      <c r="B40" s="83" t="s">
        <v>10</v>
      </c>
      <c r="C40" s="91" t="s">
        <v>89</v>
      </c>
      <c r="D40" s="74"/>
      <c r="E40" s="74"/>
      <c r="F40" s="110" t="e">
        <f>E40/E41</f>
        <v>#DIV/0!</v>
      </c>
      <c r="G40" s="79"/>
    </row>
    <row r="41" spans="1:7" x14ac:dyDescent="0.3">
      <c r="A41" s="82"/>
      <c r="B41" s="84" t="s">
        <v>90</v>
      </c>
      <c r="C41" s="91" t="s">
        <v>89</v>
      </c>
      <c r="D41" s="111">
        <f>SUM(D35:D40)</f>
        <v>0</v>
      </c>
      <c r="E41" s="111">
        <f>SUM(E35:E40)</f>
        <v>0</v>
      </c>
      <c r="F41" s="110" t="e">
        <f>SUM(F35:F40)</f>
        <v>#DIV/0!</v>
      </c>
      <c r="G41" s="79"/>
    </row>
    <row r="42" spans="1:7" x14ac:dyDescent="0.3">
      <c r="A42" s="79"/>
      <c r="B42" s="86" t="s">
        <v>92</v>
      </c>
      <c r="C42" s="91" t="s">
        <v>89</v>
      </c>
      <c r="D42" s="74"/>
      <c r="E42" s="74"/>
      <c r="F42" s="90"/>
      <c r="G42" s="79"/>
    </row>
    <row r="43" spans="1:7" x14ac:dyDescent="0.3">
      <c r="A43" s="79"/>
      <c r="B43" s="79"/>
      <c r="C43" s="79"/>
      <c r="D43" s="79"/>
      <c r="E43" s="79"/>
      <c r="F43" s="79"/>
      <c r="G43" s="79"/>
    </row>
  </sheetData>
  <mergeCells count="8">
    <mergeCell ref="A1:G1"/>
    <mergeCell ref="A14:B14"/>
    <mergeCell ref="A26:B26"/>
    <mergeCell ref="A34:B34"/>
    <mergeCell ref="C3:F3"/>
    <mergeCell ref="C5:F5"/>
    <mergeCell ref="A7:B7"/>
    <mergeCell ref="A10:E10"/>
  </mergeCells>
  <conditionalFormatting sqref="C22">
    <cfRule type="cellIs" dxfId="0" priority="1" stopIfTrue="1" operator="notEqual">
      <formula>$C$23</formula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93FC2-82E7-4054-B487-4F95C351F397}">
  <dimension ref="A1:D17"/>
  <sheetViews>
    <sheetView workbookViewId="0">
      <selection activeCell="E14" sqref="E14"/>
    </sheetView>
  </sheetViews>
  <sheetFormatPr defaultRowHeight="14.4" x14ac:dyDescent="0.3"/>
  <cols>
    <col min="1" max="1" width="13.44140625" customWidth="1"/>
    <col min="2" max="2" width="17.5546875" customWidth="1"/>
    <col min="3" max="3" width="59.5546875" customWidth="1"/>
    <col min="4" max="4" width="1.77734375" customWidth="1"/>
    <col min="5" max="5" width="17.5546875" customWidth="1"/>
  </cols>
  <sheetData>
    <row r="1" spans="1:4" x14ac:dyDescent="0.3">
      <c r="A1" s="59" t="s">
        <v>32</v>
      </c>
      <c r="B1" s="60"/>
      <c r="C1" s="60"/>
      <c r="D1" s="45"/>
    </row>
    <row r="2" spans="1:4" x14ac:dyDescent="0.3">
      <c r="A2" s="48" t="s">
        <v>15</v>
      </c>
      <c r="B2" s="46"/>
      <c r="C2" s="49"/>
      <c r="D2" s="45"/>
    </row>
    <row r="3" spans="1:4" x14ac:dyDescent="0.3">
      <c r="A3" s="48" t="s">
        <v>17</v>
      </c>
      <c r="B3" s="44"/>
      <c r="C3" s="58"/>
      <c r="D3" s="45"/>
    </row>
    <row r="4" spans="1:4" x14ac:dyDescent="0.3">
      <c r="A4" s="48" t="s">
        <v>16</v>
      </c>
      <c r="B4" s="47"/>
      <c r="C4" s="49"/>
      <c r="D4" s="45"/>
    </row>
    <row r="5" spans="1:4" x14ac:dyDescent="0.3">
      <c r="A5" s="54"/>
      <c r="B5" s="49"/>
      <c r="C5" s="53"/>
      <c r="D5" s="45"/>
    </row>
    <row r="6" spans="1:4" ht="25.8" customHeight="1" x14ac:dyDescent="0.3">
      <c r="A6" s="56" t="s">
        <v>33</v>
      </c>
      <c r="B6" s="56" t="s">
        <v>34</v>
      </c>
      <c r="C6" s="51" t="s">
        <v>35</v>
      </c>
      <c r="D6" s="45"/>
    </row>
    <row r="7" spans="1:4" x14ac:dyDescent="0.3">
      <c r="A7" s="52">
        <v>10</v>
      </c>
      <c r="B7" s="52" t="s">
        <v>36</v>
      </c>
      <c r="C7" s="55" t="s">
        <v>37</v>
      </c>
      <c r="D7" s="45"/>
    </row>
    <row r="8" spans="1:4" x14ac:dyDescent="0.3">
      <c r="A8" s="52">
        <v>20</v>
      </c>
      <c r="B8" s="52" t="s">
        <v>38</v>
      </c>
      <c r="C8" s="55" t="s">
        <v>39</v>
      </c>
      <c r="D8" s="45"/>
    </row>
    <row r="9" spans="1:4" x14ac:dyDescent="0.3">
      <c r="A9" s="52">
        <v>30</v>
      </c>
      <c r="B9" s="52" t="s">
        <v>40</v>
      </c>
      <c r="C9" s="55" t="s">
        <v>41</v>
      </c>
      <c r="D9" s="45"/>
    </row>
    <row r="10" spans="1:4" x14ac:dyDescent="0.3">
      <c r="A10" s="52">
        <v>40</v>
      </c>
      <c r="B10" s="52" t="s">
        <v>42</v>
      </c>
      <c r="C10" s="55" t="s">
        <v>43</v>
      </c>
      <c r="D10" s="45"/>
    </row>
    <row r="11" spans="1:4" x14ac:dyDescent="0.3">
      <c r="A11" s="52">
        <v>50</v>
      </c>
      <c r="B11" s="52" t="s">
        <v>44</v>
      </c>
      <c r="C11" s="55" t="s">
        <v>45</v>
      </c>
      <c r="D11" s="45"/>
    </row>
    <row r="12" spans="1:4" x14ac:dyDescent="0.3">
      <c r="A12" s="52">
        <v>60</v>
      </c>
      <c r="B12" s="52" t="s">
        <v>46</v>
      </c>
      <c r="C12" s="55" t="s">
        <v>47</v>
      </c>
      <c r="D12" s="45"/>
    </row>
    <row r="13" spans="1:4" x14ac:dyDescent="0.3">
      <c r="A13" s="52">
        <v>70</v>
      </c>
      <c r="B13" s="52" t="s">
        <v>48</v>
      </c>
      <c r="C13" s="55" t="s">
        <v>49</v>
      </c>
      <c r="D13" s="45"/>
    </row>
    <row r="14" spans="1:4" x14ac:dyDescent="0.3">
      <c r="A14" s="52">
        <v>80</v>
      </c>
      <c r="B14" s="52" t="s">
        <v>50</v>
      </c>
      <c r="C14" s="55" t="s">
        <v>51</v>
      </c>
      <c r="D14" s="45"/>
    </row>
    <row r="15" spans="1:4" x14ac:dyDescent="0.3">
      <c r="A15" s="52">
        <v>90</v>
      </c>
      <c r="B15" s="52" t="s">
        <v>52</v>
      </c>
      <c r="C15" s="55" t="s">
        <v>53</v>
      </c>
      <c r="D15" s="45"/>
    </row>
    <row r="16" spans="1:4" x14ac:dyDescent="0.3">
      <c r="A16" s="52">
        <v>100</v>
      </c>
      <c r="B16" s="52" t="s">
        <v>54</v>
      </c>
      <c r="C16" s="55" t="s">
        <v>55</v>
      </c>
      <c r="D16" s="45"/>
    </row>
    <row r="17" spans="1:4" ht="53.4" x14ac:dyDescent="0.3">
      <c r="A17" s="50"/>
      <c r="B17" s="50"/>
      <c r="C17" s="57" t="s">
        <v>56</v>
      </c>
      <c r="D17" s="45"/>
    </row>
  </sheetData>
  <mergeCells count="2">
    <mergeCell ref="B3:C3"/>
    <mergeCell ref="A1: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B84BA-02FE-41A0-BFF7-129D48DD4B65}">
  <dimension ref="A1:H34"/>
  <sheetViews>
    <sheetView workbookViewId="0">
      <selection activeCell="J5" sqref="J5"/>
    </sheetView>
  </sheetViews>
  <sheetFormatPr defaultRowHeight="14.4" x14ac:dyDescent="0.3"/>
  <cols>
    <col min="1" max="1" width="11.88671875" bestFit="1" customWidth="1"/>
    <col min="2" max="2" width="8" bestFit="1" customWidth="1"/>
    <col min="3" max="3" width="8.77734375" customWidth="1"/>
    <col min="4" max="4" width="9.77734375" bestFit="1" customWidth="1"/>
    <col min="5" max="5" width="9.88671875" bestFit="1" customWidth="1"/>
    <col min="6" max="7" width="10" customWidth="1"/>
    <col min="8" max="8" width="68.5546875" customWidth="1"/>
  </cols>
  <sheetData>
    <row r="1" spans="1:8" x14ac:dyDescent="0.3">
      <c r="A1" s="63" t="s">
        <v>15</v>
      </c>
      <c r="B1" s="64"/>
      <c r="C1" s="65"/>
      <c r="D1" s="65"/>
      <c r="E1" s="66"/>
      <c r="F1" s="65"/>
      <c r="G1" s="62"/>
      <c r="H1" s="62"/>
    </row>
    <row r="2" spans="1:8" x14ac:dyDescent="0.3">
      <c r="A2" s="63" t="s">
        <v>17</v>
      </c>
      <c r="B2" s="44"/>
      <c r="C2" s="61"/>
      <c r="D2" s="61"/>
      <c r="E2" s="61"/>
      <c r="F2" s="61"/>
      <c r="G2" s="58"/>
      <c r="H2" s="65"/>
    </row>
    <row r="3" spans="1:8" x14ac:dyDescent="0.3">
      <c r="A3" s="63" t="s">
        <v>16</v>
      </c>
      <c r="B3" s="67"/>
      <c r="C3" s="65"/>
      <c r="D3" s="65"/>
      <c r="E3" s="65"/>
      <c r="F3" s="63" t="s">
        <v>57</v>
      </c>
      <c r="G3" s="67"/>
      <c r="H3" s="65"/>
    </row>
    <row r="4" spans="1:8" x14ac:dyDescent="0.3">
      <c r="A4" s="62"/>
      <c r="B4" s="62"/>
      <c r="C4" s="62"/>
      <c r="D4" s="62"/>
      <c r="E4" s="62"/>
      <c r="F4" s="62"/>
      <c r="G4" s="62"/>
      <c r="H4" s="62"/>
    </row>
    <row r="5" spans="1:8" ht="27" x14ac:dyDescent="0.3">
      <c r="A5" s="70" t="s">
        <v>58</v>
      </c>
      <c r="B5" s="70" t="s">
        <v>59</v>
      </c>
      <c r="C5" s="70" t="s">
        <v>1</v>
      </c>
      <c r="D5" s="70" t="s">
        <v>60</v>
      </c>
      <c r="E5" s="70" t="s">
        <v>61</v>
      </c>
      <c r="F5" s="70" t="s">
        <v>62</v>
      </c>
      <c r="G5" s="70" t="s">
        <v>63</v>
      </c>
      <c r="H5" s="70" t="s">
        <v>64</v>
      </c>
    </row>
    <row r="6" spans="1:8" x14ac:dyDescent="0.3">
      <c r="A6" s="69"/>
      <c r="B6" s="68"/>
      <c r="C6" s="68"/>
      <c r="D6" s="68"/>
      <c r="E6" s="68"/>
      <c r="F6" s="68"/>
      <c r="G6" s="68"/>
      <c r="H6" s="71"/>
    </row>
    <row r="7" spans="1:8" x14ac:dyDescent="0.3">
      <c r="A7" s="68"/>
      <c r="B7" s="68"/>
      <c r="C7" s="68"/>
      <c r="D7" s="68"/>
      <c r="E7" s="68"/>
      <c r="F7" s="68"/>
      <c r="G7" s="68"/>
      <c r="H7" s="72"/>
    </row>
    <row r="8" spans="1:8" x14ac:dyDescent="0.3">
      <c r="A8" s="68"/>
      <c r="B8" s="68"/>
      <c r="C8" s="68"/>
      <c r="D8" s="68"/>
      <c r="E8" s="68"/>
      <c r="F8" s="68"/>
      <c r="G8" s="68"/>
      <c r="H8" s="72"/>
    </row>
    <row r="9" spans="1:8" x14ac:dyDescent="0.3">
      <c r="A9" s="68"/>
      <c r="B9" s="68"/>
      <c r="C9" s="68"/>
      <c r="D9" s="68"/>
      <c r="E9" s="68"/>
      <c r="F9" s="68"/>
      <c r="G9" s="68"/>
      <c r="H9" s="72"/>
    </row>
    <row r="10" spans="1:8" x14ac:dyDescent="0.3">
      <c r="A10" s="68"/>
      <c r="B10" s="68"/>
      <c r="C10" s="68"/>
      <c r="D10" s="68"/>
      <c r="E10" s="68"/>
      <c r="F10" s="68"/>
      <c r="G10" s="68"/>
      <c r="H10" s="72"/>
    </row>
    <row r="11" spans="1:8" x14ac:dyDescent="0.3">
      <c r="A11" s="68"/>
      <c r="B11" s="68"/>
      <c r="C11" s="68"/>
      <c r="D11" s="68"/>
      <c r="E11" s="68"/>
      <c r="F11" s="68"/>
      <c r="G11" s="68"/>
      <c r="H11" s="72"/>
    </row>
    <row r="12" spans="1:8" x14ac:dyDescent="0.3">
      <c r="A12" s="68"/>
      <c r="B12" s="68"/>
      <c r="C12" s="68"/>
      <c r="D12" s="68"/>
      <c r="E12" s="68"/>
      <c r="F12" s="68"/>
      <c r="G12" s="68"/>
      <c r="H12" s="72"/>
    </row>
    <row r="13" spans="1:8" x14ac:dyDescent="0.3">
      <c r="A13" s="68"/>
      <c r="B13" s="68"/>
      <c r="C13" s="68"/>
      <c r="D13" s="68"/>
      <c r="E13" s="68"/>
      <c r="F13" s="68"/>
      <c r="G13" s="68"/>
      <c r="H13" s="72"/>
    </row>
    <row r="14" spans="1:8" x14ac:dyDescent="0.3">
      <c r="A14" s="68"/>
      <c r="B14" s="68"/>
      <c r="C14" s="68"/>
      <c r="D14" s="68"/>
      <c r="E14" s="68"/>
      <c r="F14" s="68"/>
      <c r="G14" s="68"/>
      <c r="H14" s="72"/>
    </row>
    <row r="15" spans="1:8" x14ac:dyDescent="0.3">
      <c r="A15" s="68"/>
      <c r="B15" s="68"/>
      <c r="C15" s="68"/>
      <c r="D15" s="68"/>
      <c r="E15" s="68"/>
      <c r="F15" s="68"/>
      <c r="G15" s="68"/>
      <c r="H15" s="72"/>
    </row>
    <row r="16" spans="1:8" x14ac:dyDescent="0.3">
      <c r="A16" s="68"/>
      <c r="B16" s="68"/>
      <c r="C16" s="68"/>
      <c r="D16" s="68"/>
      <c r="E16" s="68"/>
      <c r="F16" s="68"/>
      <c r="G16" s="68"/>
      <c r="H16" s="72"/>
    </row>
    <row r="17" spans="1:8" x14ac:dyDescent="0.3">
      <c r="A17" s="68"/>
      <c r="B17" s="68"/>
      <c r="C17" s="68"/>
      <c r="D17" s="68"/>
      <c r="E17" s="68"/>
      <c r="F17" s="68"/>
      <c r="G17" s="68"/>
      <c r="H17" s="72"/>
    </row>
    <row r="18" spans="1:8" x14ac:dyDescent="0.3">
      <c r="A18" s="68"/>
      <c r="B18" s="68"/>
      <c r="C18" s="68"/>
      <c r="D18" s="68"/>
      <c r="E18" s="68"/>
      <c r="F18" s="68"/>
      <c r="G18" s="68"/>
      <c r="H18" s="72"/>
    </row>
    <row r="19" spans="1:8" x14ac:dyDescent="0.3">
      <c r="A19" s="68"/>
      <c r="B19" s="68"/>
      <c r="C19" s="68"/>
      <c r="D19" s="68"/>
      <c r="E19" s="68"/>
      <c r="F19" s="68"/>
      <c r="G19" s="68"/>
      <c r="H19" s="72"/>
    </row>
    <row r="20" spans="1:8" x14ac:dyDescent="0.3">
      <c r="A20" s="68"/>
      <c r="B20" s="68"/>
      <c r="C20" s="68"/>
      <c r="D20" s="68"/>
      <c r="E20" s="68"/>
      <c r="F20" s="68"/>
      <c r="G20" s="68"/>
      <c r="H20" s="72"/>
    </row>
    <row r="21" spans="1:8" x14ac:dyDescent="0.3">
      <c r="A21" s="68"/>
      <c r="B21" s="68"/>
      <c r="C21" s="68"/>
      <c r="D21" s="68"/>
      <c r="E21" s="68"/>
      <c r="F21" s="68"/>
      <c r="G21" s="68"/>
      <c r="H21" s="72"/>
    </row>
    <row r="22" spans="1:8" x14ac:dyDescent="0.3">
      <c r="A22" s="68"/>
      <c r="B22" s="68"/>
      <c r="C22" s="68"/>
      <c r="D22" s="68"/>
      <c r="E22" s="68"/>
      <c r="F22" s="68"/>
      <c r="G22" s="68"/>
      <c r="H22" s="72"/>
    </row>
    <row r="23" spans="1:8" x14ac:dyDescent="0.3">
      <c r="A23" s="68"/>
      <c r="B23" s="68"/>
      <c r="C23" s="68"/>
      <c r="D23" s="68"/>
      <c r="E23" s="68"/>
      <c r="F23" s="68"/>
      <c r="G23" s="68"/>
      <c r="H23" s="72"/>
    </row>
    <row r="24" spans="1:8" x14ac:dyDescent="0.3">
      <c r="A24" s="68"/>
      <c r="B24" s="68"/>
      <c r="C24" s="68"/>
      <c r="D24" s="68"/>
      <c r="E24" s="68"/>
      <c r="F24" s="68"/>
      <c r="G24" s="68"/>
      <c r="H24" s="72"/>
    </row>
    <row r="25" spans="1:8" x14ac:dyDescent="0.3">
      <c r="A25" s="68"/>
      <c r="B25" s="68"/>
      <c r="C25" s="68"/>
      <c r="D25" s="68"/>
      <c r="E25" s="68"/>
      <c r="F25" s="68"/>
      <c r="G25" s="68"/>
      <c r="H25" s="72"/>
    </row>
    <row r="26" spans="1:8" x14ac:dyDescent="0.3">
      <c r="A26" s="68"/>
      <c r="B26" s="68"/>
      <c r="C26" s="68"/>
      <c r="D26" s="68"/>
      <c r="E26" s="68"/>
      <c r="F26" s="68"/>
      <c r="G26" s="68"/>
      <c r="H26" s="72"/>
    </row>
    <row r="27" spans="1:8" x14ac:dyDescent="0.3">
      <c r="A27" s="68"/>
      <c r="B27" s="68"/>
      <c r="C27" s="68"/>
      <c r="D27" s="68"/>
      <c r="E27" s="68"/>
      <c r="F27" s="68"/>
      <c r="G27" s="68"/>
      <c r="H27" s="72"/>
    </row>
    <row r="28" spans="1:8" x14ac:dyDescent="0.3">
      <c r="A28" s="68"/>
      <c r="B28" s="68"/>
      <c r="C28" s="68"/>
      <c r="D28" s="68"/>
      <c r="E28" s="68"/>
      <c r="F28" s="68"/>
      <c r="G28" s="68"/>
      <c r="H28" s="72"/>
    </row>
    <row r="29" spans="1:8" x14ac:dyDescent="0.3">
      <c r="A29" s="68"/>
      <c r="B29" s="68"/>
      <c r="C29" s="68"/>
      <c r="D29" s="68"/>
      <c r="E29" s="68"/>
      <c r="F29" s="68"/>
      <c r="G29" s="68"/>
      <c r="H29" s="72"/>
    </row>
    <row r="30" spans="1:8" x14ac:dyDescent="0.3">
      <c r="A30" s="68"/>
      <c r="B30" s="68"/>
      <c r="C30" s="68"/>
      <c r="D30" s="68"/>
      <c r="E30" s="68"/>
      <c r="F30" s="68"/>
      <c r="G30" s="68"/>
      <c r="H30" s="72"/>
    </row>
    <row r="31" spans="1:8" x14ac:dyDescent="0.3">
      <c r="A31" s="68"/>
      <c r="B31" s="68"/>
      <c r="C31" s="68"/>
      <c r="D31" s="68"/>
      <c r="E31" s="68"/>
      <c r="F31" s="68"/>
      <c r="G31" s="68"/>
      <c r="H31" s="72"/>
    </row>
    <row r="32" spans="1:8" x14ac:dyDescent="0.3">
      <c r="A32" s="68"/>
      <c r="B32" s="68"/>
      <c r="C32" s="68"/>
      <c r="D32" s="68"/>
      <c r="E32" s="68"/>
      <c r="F32" s="68"/>
      <c r="G32" s="68"/>
      <c r="H32" s="72"/>
    </row>
    <row r="33" spans="1:8" x14ac:dyDescent="0.3">
      <c r="A33" s="68"/>
      <c r="B33" s="68"/>
      <c r="C33" s="68"/>
      <c r="D33" s="68"/>
      <c r="E33" s="68"/>
      <c r="F33" s="68"/>
      <c r="G33" s="68"/>
      <c r="H33" s="72"/>
    </row>
    <row r="34" spans="1:8" x14ac:dyDescent="0.3">
      <c r="A34" s="68"/>
      <c r="B34" s="68"/>
      <c r="C34" s="68"/>
      <c r="D34" s="68"/>
      <c r="E34" s="68"/>
      <c r="F34" s="68"/>
      <c r="G34" s="68"/>
      <c r="H34" s="72"/>
    </row>
  </sheetData>
  <mergeCells count="1">
    <mergeCell ref="B2:G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LFF</vt:lpstr>
      <vt:lpstr>PDF</vt:lpstr>
      <vt:lpstr>DVF</vt:lpstr>
      <vt:lpstr>PPS</vt:lpstr>
      <vt:lpstr>DTS</vt:lpstr>
      <vt:lpstr>DFF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Medion</dc:creator>
  <cp:lastModifiedBy>Vladimir Sarnovskij</cp:lastModifiedBy>
  <dcterms:created xsi:type="dcterms:W3CDTF">2015-06-05T18:17:20Z</dcterms:created>
  <dcterms:modified xsi:type="dcterms:W3CDTF">2026-04-11T17:14:15Z</dcterms:modified>
</cp:coreProperties>
</file>