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edion\Desktop\ADS\3 Realaus pasaulio modeliavimas\"/>
    </mc:Choice>
  </mc:AlternateContent>
  <xr:revisionPtr revIDLastSave="0" documentId="13_ncr:1_{013DE185-33C7-4067-B018-7AD660C9388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FF" sheetId="1" r:id="rId1"/>
    <sheet name="PDF" sheetId="5" r:id="rId2"/>
    <sheet name="DVF" sheetId="6" r:id="rId3"/>
    <sheet name="PPS" sheetId="7" r:id="rId4"/>
    <sheet name="DTS" sheetId="3" r:id="rId5"/>
    <sheet name="DFF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7" l="1"/>
  <c r="E11" i="7" s="1"/>
  <c r="E10" i="1"/>
  <c r="F16" i="7"/>
  <c r="F15" i="7"/>
  <c r="E22" i="7"/>
  <c r="E41" i="7"/>
  <c r="F38" i="7" s="1"/>
  <c r="D41" i="7"/>
  <c r="E33" i="7"/>
  <c r="F27" i="7" s="1"/>
  <c r="D33" i="7"/>
  <c r="F31" i="7"/>
  <c r="F30" i="7"/>
  <c r="F29" i="7"/>
  <c r="F28" i="7"/>
  <c r="C25" i="7"/>
  <c r="C24" i="7"/>
  <c r="C23" i="7"/>
  <c r="D22" i="7"/>
  <c r="C22" i="7"/>
  <c r="G29" i="6"/>
  <c r="H29" i="6"/>
  <c r="F29" i="6"/>
  <c r="E6" i="5"/>
  <c r="E13" i="5"/>
  <c r="E12" i="5"/>
  <c r="E11" i="5"/>
  <c r="E10" i="5"/>
  <c r="E9" i="5"/>
  <c r="E8" i="5"/>
  <c r="E7" i="5"/>
  <c r="F37" i="7" l="1"/>
  <c r="F39" i="7"/>
  <c r="F40" i="7"/>
  <c r="F35" i="7"/>
  <c r="F36" i="7"/>
  <c r="F33" i="7"/>
  <c r="F32" i="7"/>
  <c r="D8" i="7"/>
  <c r="D9" i="7" s="1"/>
  <c r="F18" i="7"/>
  <c r="C9" i="7"/>
  <c r="F41" i="7" l="1"/>
  <c r="F19" i="7"/>
  <c r="F21" i="7"/>
  <c r="F20" i="7"/>
  <c r="F17" i="7"/>
  <c r="E8" i="7"/>
  <c r="E9" i="7" s="1"/>
  <c r="F2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Saulius</author>
  </authors>
  <commentList>
    <comment ref="C8" authorId="0" shapeId="0" xr:uid="{A1B53367-8C67-4529-998B-D2354DBF9405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</rPr>
          <t xml:space="preserve">Planavimo </t>
        </r>
        <r>
          <rPr>
            <sz val="8"/>
            <color indexed="81"/>
            <rFont val="Tahoma"/>
            <family val="2"/>
          </rPr>
          <t xml:space="preserve">fazės metu, remiantis </t>
        </r>
        <r>
          <rPr>
            <b/>
            <sz val="8"/>
            <color indexed="81"/>
            <rFont val="Tahoma"/>
            <family val="2"/>
          </rPr>
          <t>PDF</t>
        </r>
        <r>
          <rPr>
            <sz val="8"/>
            <color indexed="81"/>
            <rFont val="Tahoma"/>
            <family val="2"/>
          </rPr>
          <t xml:space="preserve"> duomenimis</t>
        </r>
        <r>
          <rPr>
            <b/>
            <sz val="8"/>
            <color indexed="81"/>
            <rFont val="Tahoma"/>
          </rPr>
          <t xml:space="preserve">
</t>
        </r>
        <r>
          <rPr>
            <sz val="8"/>
            <color indexed="81"/>
            <rFont val="Tahoma"/>
          </rPr>
          <t xml:space="preserve">
</t>
        </r>
      </text>
    </comment>
    <comment ref="C11" authorId="0" shapeId="0" xr:uid="{B6055E08-7F0B-4472-9A41-02C4CF861D45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 xml:space="preserve">fazės metu, remiantis </t>
        </r>
        <r>
          <rPr>
            <b/>
            <sz val="8"/>
            <color indexed="81"/>
            <rFont val="Tahoma"/>
            <family val="2"/>
          </rPr>
          <t>DVF</t>
        </r>
        <r>
          <rPr>
            <sz val="8"/>
            <color indexed="81"/>
            <rFont val="Tahoma"/>
            <family val="2"/>
          </rPr>
          <t xml:space="preserve"> duomenimis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2" authorId="0" shapeId="0" xr:uid="{EB4D1B6B-C449-43BF-ABDF-570C2FCCD7E6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 xml:space="preserve">fazės metu, remiantis </t>
        </r>
        <r>
          <rPr>
            <b/>
            <sz val="8"/>
            <color indexed="81"/>
            <rFont val="Tahoma"/>
            <family val="2"/>
          </rPr>
          <t>DVF</t>
        </r>
        <r>
          <rPr>
            <sz val="8"/>
            <color indexed="81"/>
            <rFont val="Tahoma"/>
            <family val="2"/>
          </rPr>
          <t xml:space="preserve"> duomenimis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3" authorId="0" shapeId="0" xr:uid="{C3FFFCF5-E300-484E-9B1E-D542EA67544F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 xml:space="preserve">fazės metu, remiantis </t>
        </r>
        <r>
          <rPr>
            <b/>
            <sz val="8"/>
            <color indexed="81"/>
            <rFont val="Tahoma"/>
            <family val="2"/>
          </rPr>
          <t>DVF</t>
        </r>
        <r>
          <rPr>
            <sz val="8"/>
            <color indexed="81"/>
            <rFont val="Tahoma"/>
            <family val="2"/>
          </rPr>
          <t xml:space="preserve"> duomenimis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5" authorId="0" shapeId="0" xr:uid="{888BD0E7-FB17-4189-8FD3-7398863385C8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6" authorId="0" shapeId="0" xr:uid="{C146A64B-1290-492A-92A2-F250B3ED3F49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7" authorId="0" shapeId="0" xr:uid="{262FC13F-7773-4EDD-8A2F-D6FF3439F5EF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8" authorId="0" shapeId="0" xr:uid="{A0B71D2C-9D47-47F1-81B4-27E660536B56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19" authorId="0" shapeId="0" xr:uid="{75CD3D11-9BFE-4195-942D-711F13A6C683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0" authorId="0" shapeId="0" xr:uid="{7D7CB8AF-60C2-4BAA-B60A-C531D3C35A9C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1" authorId="0" shapeId="0" xr:uid="{38F32FE8-01FE-4BBA-95D5-440B28E8481A}">
      <text>
        <r>
          <rPr>
            <sz val="8"/>
            <color indexed="81"/>
            <rFont val="Tahoma"/>
            <family val="2"/>
          </rPr>
          <t xml:space="preserve">Pildoma </t>
        </r>
        <r>
          <rPr>
            <b/>
            <sz val="8"/>
            <color indexed="81"/>
            <rFont val="Tahoma"/>
            <family val="2"/>
          </rPr>
          <t xml:space="preserve">Planavimo </t>
        </r>
        <r>
          <rPr>
            <sz val="8"/>
            <color indexed="81"/>
            <rFont val="Tahoma"/>
            <family val="2"/>
          </rPr>
          <t>fazės metu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C22" authorId="0" shapeId="0" xr:uid="{16106788-0EFA-42FB-A709-A59E804722AB}">
      <text>
        <r>
          <rPr>
            <sz val="8"/>
            <color indexed="81"/>
            <rFont val="Tahoma"/>
            <family val="2"/>
          </rPr>
          <t xml:space="preserve">Suplanuota projekto trukmė </t>
        </r>
        <r>
          <rPr>
            <b/>
            <i/>
            <sz val="8"/>
            <color indexed="81"/>
            <rFont val="Tahoma"/>
            <family val="2"/>
          </rPr>
          <t xml:space="preserve">Viso </t>
        </r>
        <r>
          <rPr>
            <sz val="8"/>
            <color indexed="81"/>
            <rFont val="Tahoma"/>
            <family val="2"/>
          </rPr>
          <t xml:space="preserve">turi sutapti su </t>
        </r>
        <r>
          <rPr>
            <i/>
            <sz val="8"/>
            <color indexed="81"/>
            <rFont val="Tahoma"/>
            <family val="2"/>
          </rPr>
          <t xml:space="preserve">Apskaičiuotas laikas </t>
        </r>
        <r>
          <rPr>
            <sz val="8"/>
            <color indexed="81"/>
            <rFont val="Tahoma"/>
            <family val="2"/>
          </rPr>
          <t>reikšme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<sst xmlns="http://schemas.openxmlformats.org/spreadsheetml/2006/main" count="190" uniqueCount="116">
  <si>
    <t>Komentarai</t>
  </si>
  <si>
    <t>Defekto tipas</t>
  </si>
  <si>
    <t>Data</t>
  </si>
  <si>
    <t>Nuo</t>
  </si>
  <si>
    <t>Iki</t>
  </si>
  <si>
    <t>Trukdžiai</t>
  </si>
  <si>
    <t>Laikas</t>
  </si>
  <si>
    <t>Veikla</t>
  </si>
  <si>
    <t>Planavimas</t>
  </si>
  <si>
    <t>Programavimas</t>
  </si>
  <si>
    <t>Testavimas</t>
  </si>
  <si>
    <t>PSP veikla</t>
  </si>
  <si>
    <t>B.</t>
  </si>
  <si>
    <t>Vnt.</t>
  </si>
  <si>
    <t>Baigta.</t>
  </si>
  <si>
    <t>Grupė:</t>
  </si>
  <si>
    <t>Data:</t>
  </si>
  <si>
    <t>Studentas:</t>
  </si>
  <si>
    <t>Programavimo kalba:</t>
  </si>
  <si>
    <t>Programa</t>
  </si>
  <si>
    <t>Laikas (min)</t>
  </si>
  <si>
    <t>Dydis (ES)</t>
  </si>
  <si>
    <t>Min/ES</t>
  </si>
  <si>
    <t>Funkcijos</t>
  </si>
  <si>
    <t>Kuriama programa:</t>
  </si>
  <si>
    <t>Realizuota funkcija</t>
  </si>
  <si>
    <t>Vertinama funkcija</t>
  </si>
  <si>
    <t>Min</t>
  </si>
  <si>
    <t>Vid.</t>
  </si>
  <si>
    <t>Max</t>
  </si>
  <si>
    <t>Bendras įvertinimas</t>
  </si>
  <si>
    <t>Komentarai:</t>
  </si>
  <si>
    <t>Defektų tipų standartas</t>
  </si>
  <si>
    <t>Tipo numeris</t>
  </si>
  <si>
    <t>Tipo pavadinimas</t>
  </si>
  <si>
    <t>Aprašas</t>
  </si>
  <si>
    <t>Dokumentavimas</t>
  </si>
  <si>
    <t>komentarai, pranešimai</t>
  </si>
  <si>
    <t>Sintaksė</t>
  </si>
  <si>
    <t>sintaksinės klaidos</t>
  </si>
  <si>
    <t>Versijavimas</t>
  </si>
  <si>
    <t>pakeitimų valdymas, versijų kontrolė</t>
  </si>
  <si>
    <t>Vardai</t>
  </si>
  <si>
    <t>aprašai, vienodi vardai, galiojimo sritis</t>
  </si>
  <si>
    <t>Interfeisas</t>
  </si>
  <si>
    <t>funkcijų/procedūrų iškvietimai, įvedimas-išvedimas, vartotojo formatai</t>
  </si>
  <si>
    <t>Kontrolė</t>
  </si>
  <si>
    <t>klaidų pranešimai, nepakankama kontrolė</t>
  </si>
  <si>
    <t>Duomenys</t>
  </si>
  <si>
    <t>duomenų struktūros ir turinys</t>
  </si>
  <si>
    <t>Funkcionalumas</t>
  </si>
  <si>
    <t>logika, rodyklės, ciklai, rekursija, skaičiavimai, funkcionalumo defektai</t>
  </si>
  <si>
    <t>Sistema</t>
  </si>
  <si>
    <t>konfigūracija, sinchronizavimas, atminties valdymas</t>
  </si>
  <si>
    <t>Aplinka</t>
  </si>
  <si>
    <t>aplinkos (projektavimo, kompiliavimo, testavimo ar kt.) problemos</t>
  </si>
  <si>
    <t>Pastabos.
Naujus klaidų tipus įterpti į lentelę.
Sukaupus daugiau klaidų, galima susikurti savo standartą (atkreipti dėmesį į istorinius duomenis)</t>
  </si>
  <si>
    <t>Programa:</t>
  </si>
  <si>
    <t>Radimo data</t>
  </si>
  <si>
    <t>Defekto numeris</t>
  </si>
  <si>
    <t>Padarytas fazėje</t>
  </si>
  <si>
    <t>Pašalintas fazėje</t>
  </si>
  <si>
    <t>Taisymo laikas</t>
  </si>
  <si>
    <t>Taisant defektą</t>
  </si>
  <si>
    <t>Detalus defekto aprašas</t>
  </si>
  <si>
    <t>Projekto plano suvestinė</t>
  </si>
  <si>
    <t>Trumpas programos apibūdinimas:</t>
  </si>
  <si>
    <t>Produktyvumas</t>
  </si>
  <si>
    <t>Planas</t>
  </si>
  <si>
    <t>Faktas</t>
  </si>
  <si>
    <t>Iki šiol</t>
  </si>
  <si>
    <t>ES/Val</t>
  </si>
  <si>
    <t>Programos dydis (ES)</t>
  </si>
  <si>
    <t>Viso (Naujos+Keistos)</t>
  </si>
  <si>
    <t>Maksimalus dydis</t>
  </si>
  <si>
    <t>Minimalus dydis</t>
  </si>
  <si>
    <t>Laikas (min.)</t>
  </si>
  <si>
    <t>Iki šiol %</t>
  </si>
  <si>
    <t>Projektavimas</t>
  </si>
  <si>
    <t>Kodavimas</t>
  </si>
  <si>
    <t>Peržiūra</t>
  </si>
  <si>
    <t>Kompiliavimas</t>
  </si>
  <si>
    <t>"Aptarimas"</t>
  </si>
  <si>
    <t>Viso:</t>
  </si>
  <si>
    <t>Apskaičiuotas laikas:</t>
  </si>
  <si>
    <t>Maksimalus laikas:</t>
  </si>
  <si>
    <t>Minimalus laikas:</t>
  </si>
  <si>
    <t>Padaryti defektai</t>
  </si>
  <si>
    <t>-</t>
  </si>
  <si>
    <t>Viso kūrimo metu:</t>
  </si>
  <si>
    <t>Pašalinti defektai</t>
  </si>
  <si>
    <t>Po kūrimo</t>
  </si>
  <si>
    <t>PriorityQueue.c/h realizacija (ADT prioritetinė eilė)</t>
  </si>
  <si>
    <t>BigInteger.c/h kūrimas ilgų skaičių skaičiavimui</t>
  </si>
  <si>
    <t>Simulation.c pagrindinė verslo logika ir viršvalandžių skaičiavimas</t>
  </si>
  <si>
    <t>main.c: parametrų nuskaitymas iš .cfg ir -rnd valdymas</t>
  </si>
  <si>
    <t>Go.cmd testų vykdymas, rezultatų palyginimas (Scenario 1 vs 2)</t>
  </si>
  <si>
    <t>Dokumentacijos tvarkymas ir galutinis PSP.xlsx pildymas</t>
  </si>
  <si>
    <t>Struktūros kūrimas</t>
  </si>
  <si>
    <t>Vladimir Sarnovskij</t>
  </si>
  <si>
    <t>C</t>
  </si>
  <si>
    <t>KaskoSim</t>
  </si>
  <si>
    <t>Simuliuojamas autoservisas su dviejų tipų klientais: VIP ir paprastais. Modeliuojama kuri strategija servisui naudingesnė - turėti bendradarbiavimo sutartis ar dirbti be jų.</t>
  </si>
  <si>
    <t>readParamsFromFile</t>
  </si>
  <si>
    <t>readParamsFromFile, addIntToBI, hasVipTask, simulate, printSimulationResult</t>
  </si>
  <si>
    <t>addIntToBI</t>
  </si>
  <si>
    <t>hasVipTask</t>
  </si>
  <si>
    <t>simulate</t>
  </si>
  <si>
    <t>printSimulationResult</t>
  </si>
  <si>
    <t>Failų nuskaitymas ir parametrų valdymas</t>
  </si>
  <si>
    <t>Pagrindinis simuliacijos ciklas (simulate)</t>
  </si>
  <si>
    <t>Pateikti rezultatus patogiu formatu</t>
  </si>
  <si>
    <t>Papildoma funkcija: patikrinti, ar yra VIP užduočių</t>
  </si>
  <si>
    <t>Pagalbinė funkcija, skirta BigInteger: pridėti int prie BigInteger</t>
  </si>
  <si>
    <t>Vertinimas atliktas lyginimo metodu. Istoriniai duomenys paimti iš ankstesnių laboratorinių darbų</t>
  </si>
  <si>
    <t xml:space="preserve">išbandžiau go.cmd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</si>
</sst>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hh:mm;@" x16r2:formatCode16="[$-ru-UA,1]hh:mm;@"/>
  </numFmts>
  <fonts count="1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2"/>
      <color theme="1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i/>
      <sz val="8"/>
      <color indexed="81"/>
      <name val="Tahoma"/>
      <family val="2"/>
    </font>
    <font>
      <b/>
      <i/>
      <sz val="8"/>
      <color indexed="81"/>
      <name val="Tahom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16">
    <xf numFmtId="0" fontId="0" fillId="0" borderId="0" xfId="0"/>
    <xf numFmtId="20" fontId="0" fillId="0" borderId="0" xfId="0" applyNumberFormat="1"/>
    <xf numFmtId="0" fontId="5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3" borderId="0" xfId="0" applyFill="1"/>
    <xf numFmtId="0" fontId="6" fillId="3" borderId="0" xfId="0" applyFont="1" applyFill="1" applyAlignment="1">
      <alignment horizontal="right"/>
    </xf>
    <xf numFmtId="0" fontId="0" fillId="0" borderId="6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horizontal="left"/>
      <protection locked="0"/>
    </xf>
    <xf numFmtId="0" fontId="6" fillId="3" borderId="1" xfId="0" applyFont="1" applyFill="1" applyBorder="1" applyAlignment="1">
      <alignment horizontal="center" wrapText="1"/>
    </xf>
    <xf numFmtId="2" fontId="0" fillId="3" borderId="1" xfId="0" applyNumberFormat="1" applyFill="1" applyBorder="1" applyAlignment="1">
      <alignment horizontal="center"/>
    </xf>
    <xf numFmtId="0" fontId="7" fillId="0" borderId="1" xfId="0" applyFont="1" applyBorder="1" applyAlignment="1" applyProtection="1">
      <alignment vertical="top" wrapText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1" fillId="0" borderId="6" xfId="1" applyBorder="1" applyProtection="1">
      <protection locked="0"/>
    </xf>
    <xf numFmtId="0" fontId="6" fillId="3" borderId="0" xfId="1" applyFont="1" applyFill="1" applyAlignment="1">
      <alignment horizontal="right"/>
    </xf>
    <xf numFmtId="0" fontId="1" fillId="3" borderId="0" xfId="1" applyFill="1"/>
    <xf numFmtId="0" fontId="6" fillId="3" borderId="1" xfId="1" applyFont="1" applyFill="1" applyBorder="1" applyAlignment="1">
      <alignment horizontal="center" wrapText="1"/>
    </xf>
    <xf numFmtId="0" fontId="1" fillId="0" borderId="1" xfId="1" applyBorder="1" applyAlignment="1" applyProtection="1">
      <alignment vertical="top" wrapText="1"/>
      <protection locked="0"/>
    </xf>
    <xf numFmtId="0" fontId="6" fillId="3" borderId="1" xfId="1" applyFont="1" applyFill="1" applyBorder="1" applyAlignment="1" applyProtection="1">
      <alignment vertical="top" wrapText="1"/>
      <protection locked="0"/>
    </xf>
    <xf numFmtId="0" fontId="9" fillId="3" borderId="0" xfId="1" applyFont="1" applyFill="1"/>
    <xf numFmtId="0" fontId="1" fillId="4" borderId="1" xfId="1" applyFill="1" applyBorder="1" applyProtection="1">
      <protection locked="0"/>
    </xf>
    <xf numFmtId="0" fontId="1" fillId="4" borderId="1" xfId="1" applyFill="1" applyBorder="1" applyAlignment="1" applyProtection="1">
      <alignment vertical="top" wrapText="1"/>
      <protection locked="0"/>
    </xf>
    <xf numFmtId="0" fontId="1" fillId="0" borderId="1" xfId="1" applyBorder="1" applyProtection="1">
      <protection locked="0"/>
    </xf>
    <xf numFmtId="0" fontId="1" fillId="0" borderId="1" xfId="1" applyBorder="1"/>
    <xf numFmtId="0" fontId="1" fillId="0" borderId="2" xfId="1" applyBorder="1" applyProtection="1">
      <protection locked="0"/>
    </xf>
    <xf numFmtId="0" fontId="6" fillId="3" borderId="1" xfId="1" applyFont="1" applyFill="1" applyBorder="1" applyAlignment="1">
      <alignment horizontal="center"/>
    </xf>
    <xf numFmtId="0" fontId="8" fillId="3" borderId="0" xfId="1" applyFont="1" applyFill="1" applyAlignment="1">
      <alignment horizontal="right"/>
    </xf>
    <xf numFmtId="0" fontId="8" fillId="3" borderId="0" xfId="1" applyFont="1" applyFill="1" applyAlignment="1">
      <alignment horizontal="left"/>
    </xf>
    <xf numFmtId="0" fontId="10" fillId="0" borderId="1" xfId="1" applyFont="1" applyBorder="1" applyProtection="1">
      <protection locked="0"/>
    </xf>
    <xf numFmtId="0" fontId="8" fillId="3" borderId="0" xfId="1" applyFont="1" applyFill="1" applyAlignment="1">
      <alignment horizontal="left" wrapText="1"/>
    </xf>
    <xf numFmtId="0" fontId="6" fillId="3" borderId="0" xfId="1" applyFont="1" applyFill="1" applyAlignment="1">
      <alignment horizontal="center"/>
    </xf>
    <xf numFmtId="14" fontId="1" fillId="0" borderId="1" xfId="1" applyNumberFormat="1" applyBorder="1"/>
    <xf numFmtId="0" fontId="7" fillId="0" borderId="1" xfId="1" applyFont="1" applyBorder="1" applyAlignment="1">
      <alignment vertical="top" wrapText="1"/>
    </xf>
    <xf numFmtId="0" fontId="1" fillId="0" borderId="1" xfId="1" applyBorder="1" applyAlignment="1">
      <alignment vertical="top" wrapText="1"/>
    </xf>
    <xf numFmtId="0" fontId="1" fillId="0" borderId="12" xfId="1" applyBorder="1" applyProtection="1">
      <protection locked="0"/>
    </xf>
    <xf numFmtId="0" fontId="6" fillId="3" borderId="0" xfId="1" applyFont="1" applyFill="1" applyAlignment="1">
      <alignment horizontal="right" wrapText="1"/>
    </xf>
    <xf numFmtId="0" fontId="1" fillId="3" borderId="4" xfId="1" applyFill="1" applyBorder="1"/>
    <xf numFmtId="0" fontId="1" fillId="3" borderId="11" xfId="1" applyFill="1" applyBorder="1"/>
    <xf numFmtId="0" fontId="9" fillId="3" borderId="11" xfId="1" applyFont="1" applyFill="1" applyBorder="1" applyAlignment="1">
      <alignment horizontal="right"/>
    </xf>
    <xf numFmtId="0" fontId="1" fillId="3" borderId="10" xfId="1" applyFill="1" applyBorder="1"/>
    <xf numFmtId="0" fontId="9" fillId="3" borderId="0" xfId="1" applyFont="1" applyFill="1" applyAlignment="1">
      <alignment horizontal="left"/>
    </xf>
    <xf numFmtId="10" fontId="1" fillId="3" borderId="0" xfId="1" applyNumberFormat="1" applyFill="1"/>
    <xf numFmtId="0" fontId="8" fillId="3" borderId="10" xfId="1" applyFont="1" applyFill="1" applyBorder="1" applyAlignment="1">
      <alignment horizontal="right"/>
    </xf>
    <xf numFmtId="10" fontId="0" fillId="3" borderId="1" xfId="0" applyNumberFormat="1" applyFill="1" applyBorder="1"/>
    <xf numFmtId="0" fontId="0" fillId="3" borderId="1" xfId="0" applyFill="1" applyBorder="1"/>
    <xf numFmtId="0" fontId="0" fillId="3" borderId="1" xfId="0" applyFill="1" applyBorder="1" applyProtection="1">
      <protection locked="0"/>
    </xf>
    <xf numFmtId="164" fontId="0" fillId="0" borderId="0" xfId="0" applyNumberFormat="1"/>
    <xf numFmtId="0" fontId="3" fillId="2" borderId="1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14" fontId="0" fillId="0" borderId="13" xfId="0" applyNumberFormat="1" applyBorder="1" applyAlignment="1">
      <alignment horizontal="right" wrapText="1"/>
    </xf>
    <xf numFmtId="20" fontId="0" fillId="0" borderId="13" xfId="0" applyNumberFormat="1" applyBorder="1" applyAlignment="1">
      <alignment horizontal="right" wrapText="1"/>
    </xf>
    <xf numFmtId="0" fontId="0" fillId="0" borderId="13" xfId="0" applyBorder="1" applyAlignment="1">
      <alignment wrapText="1"/>
    </xf>
    <xf numFmtId="2" fontId="0" fillId="0" borderId="1" xfId="0" applyNumberFormat="1" applyBorder="1" applyProtection="1">
      <protection locked="0"/>
    </xf>
    <xf numFmtId="14" fontId="0" fillId="0" borderId="2" xfId="0" applyNumberFormat="1" applyBorder="1" applyAlignment="1" applyProtection="1">
      <alignment horizontal="left"/>
      <protection locked="0"/>
    </xf>
    <xf numFmtId="14" fontId="1" fillId="0" borderId="1" xfId="1" applyNumberFormat="1" applyBorder="1" applyProtection="1">
      <protection locked="0"/>
    </xf>
    <xf numFmtId="14" fontId="1" fillId="0" borderId="2" xfId="1" applyNumberFormat="1" applyBorder="1" applyProtection="1">
      <protection locked="0"/>
    </xf>
    <xf numFmtId="0" fontId="0" fillId="0" borderId="1" xfId="0" applyBorder="1" applyProtection="1">
      <protection locked="0"/>
    </xf>
    <xf numFmtId="0" fontId="6" fillId="3" borderId="4" xfId="1" applyFont="1" applyFill="1" applyBorder="1" applyProtection="1">
      <protection locked="0"/>
    </xf>
    <xf numFmtId="0" fontId="6" fillId="3" borderId="10" xfId="1" applyFont="1" applyFill="1" applyBorder="1"/>
    <xf numFmtId="0" fontId="6" fillId="3" borderId="11" xfId="1" applyFont="1" applyFill="1" applyBorder="1"/>
    <xf numFmtId="0" fontId="10" fillId="0" borderId="1" xfId="1" applyFont="1" applyBorder="1" applyAlignment="1">
      <alignment wrapText="1"/>
    </xf>
    <xf numFmtId="0" fontId="1" fillId="0" borderId="1" xfId="1" applyBorder="1" applyProtection="1">
      <protection locked="0"/>
    </xf>
    <xf numFmtId="0" fontId="1" fillId="0" borderId="1" xfId="1" applyBorder="1"/>
    <xf numFmtId="14" fontId="1" fillId="0" borderId="7" xfId="1" applyNumberFormat="1" applyBorder="1" applyAlignment="1" applyProtection="1">
      <alignment horizontal="left"/>
      <protection locked="0"/>
    </xf>
    <xf numFmtId="0" fontId="1" fillId="0" borderId="8" xfId="1" applyBorder="1" applyAlignment="1" applyProtection="1">
      <alignment horizontal="left"/>
      <protection locked="0"/>
    </xf>
    <xf numFmtId="0" fontId="1" fillId="0" borderId="9" xfId="1" applyBorder="1" applyAlignment="1" applyProtection="1">
      <alignment horizontal="left"/>
      <protection locked="0"/>
    </xf>
    <xf numFmtId="0" fontId="1" fillId="0" borderId="4" xfId="1" applyBorder="1" applyAlignment="1" applyProtection="1">
      <alignment horizontal="left"/>
      <protection locked="0"/>
    </xf>
    <xf numFmtId="0" fontId="1" fillId="0" borderId="10" xfId="1" applyBorder="1" applyAlignment="1" applyProtection="1">
      <alignment horizontal="left"/>
      <protection locked="0"/>
    </xf>
    <xf numFmtId="0" fontId="1" fillId="0" borderId="11" xfId="1" applyBorder="1" applyAlignment="1" applyProtection="1">
      <alignment horizontal="left"/>
      <protection locked="0"/>
    </xf>
    <xf numFmtId="0" fontId="9" fillId="3" borderId="0" xfId="1" applyFont="1" applyFill="1" applyAlignment="1">
      <alignment horizontal="center" vertical="top"/>
    </xf>
    <xf numFmtId="0" fontId="6" fillId="3" borderId="1" xfId="1" applyFont="1" applyFill="1" applyBorder="1"/>
    <xf numFmtId="0" fontId="1" fillId="3" borderId="1" xfId="1" applyFill="1" applyBorder="1"/>
    <xf numFmtId="0" fontId="6" fillId="3" borderId="0" xfId="1" applyFont="1" applyFill="1"/>
    <xf numFmtId="0" fontId="1" fillId="3" borderId="0" xfId="1" applyFill="1"/>
    <xf numFmtId="0" fontId="1" fillId="0" borderId="4" xfId="1" applyBorder="1" applyProtection="1">
      <protection locked="0"/>
    </xf>
    <xf numFmtId="0" fontId="1" fillId="0" borderId="10" xfId="1" applyBorder="1"/>
    <xf numFmtId="0" fontId="1" fillId="0" borderId="11" xfId="1" applyBorder="1"/>
    <xf numFmtId="0" fontId="7" fillId="0" borderId="4" xfId="1" applyFont="1" applyBorder="1" applyAlignment="1" applyProtection="1">
      <alignment vertical="center" wrapText="1"/>
      <protection locked="0"/>
    </xf>
    <xf numFmtId="0" fontId="7" fillId="0" borderId="10" xfId="1" applyFont="1" applyBorder="1" applyAlignment="1" applyProtection="1">
      <alignment vertical="center" wrapText="1"/>
      <protection locked="0"/>
    </xf>
    <xf numFmtId="0" fontId="7" fillId="0" borderId="11" xfId="1" applyFont="1" applyBorder="1" applyAlignment="1" applyProtection="1">
      <alignment vertical="center" wrapText="1"/>
      <protection locked="0"/>
    </xf>
    <xf numFmtId="0" fontId="6" fillId="3" borderId="4" xfId="1" applyFont="1" applyFill="1" applyBorder="1"/>
    <xf numFmtId="0" fontId="1" fillId="3" borderId="10" xfId="1" applyFill="1" applyBorder="1"/>
    <xf numFmtId="0" fontId="1" fillId="0" borderId="11" xfId="1" applyBorder="1" applyProtection="1">
      <protection locked="0"/>
    </xf>
    <xf numFmtId="0" fontId="6" fillId="3" borderId="0" xfId="1" applyFont="1" applyFill="1" applyAlignment="1">
      <alignment horizontal="center"/>
    </xf>
    <xf numFmtId="0" fontId="1" fillId="3" borderId="0" xfId="1" applyFill="1" applyAlignment="1">
      <alignment horizontal="center"/>
    </xf>
    <xf numFmtId="0" fontId="1" fillId="0" borderId="10" xfId="1" applyBorder="1" applyProtection="1">
      <protection locked="0"/>
    </xf>
    <xf numFmtId="0" fontId="0" fillId="0" borderId="0" xfId="0"/>
    <xf numFmtId="0" fontId="0" fillId="0" borderId="13" xfId="0" applyBorder="1" applyAlignment="1">
      <alignment horizontal="left"/>
    </xf>
    <xf numFmtId="0" fontId="0" fillId="0" borderId="13" xfId="0" applyBorder="1" applyAlignment="1"/>
    <xf numFmtId="0" fontId="0" fillId="0" borderId="13" xfId="0" applyBorder="1" applyAlignment="1">
      <alignment horizontal="left" wrapText="1"/>
    </xf>
    <xf numFmtId="0" fontId="0" fillId="0" borderId="1" xfId="0" applyBorder="1"/>
    <xf numFmtId="0" fontId="4" fillId="4" borderId="1" xfId="1" applyFont="1" applyFill="1" applyBorder="1" applyAlignment="1" applyProtection="1">
      <alignment vertical="top" wrapText="1"/>
      <protection locked="0"/>
    </xf>
    <xf numFmtId="14" fontId="4" fillId="4" borderId="1" xfId="1" applyNumberFormat="1" applyFont="1" applyFill="1" applyBorder="1" applyProtection="1">
      <protection locked="0"/>
    </xf>
    <xf numFmtId="0" fontId="4" fillId="0" borderId="1" xfId="1" applyFont="1" applyBorder="1" applyAlignment="1" applyProtection="1">
      <alignment vertical="top" wrapText="1"/>
      <protection locked="0"/>
    </xf>
    <xf numFmtId="0" fontId="0" fillId="0" borderId="0" xfId="0"/>
    <xf numFmtId="0" fontId="0" fillId="0" borderId="0" xfId="0" applyAlignment="1"/>
    <xf numFmtId="0" fontId="4" fillId="0" borderId="1" xfId="1" applyFont="1" applyBorder="1" applyAlignment="1" applyProtection="1">
      <alignment wrapText="1"/>
      <protection locked="0"/>
    </xf>
    <xf numFmtId="0" fontId="17" fillId="0" borderId="0" xfId="0" applyFont="1" applyAlignment="1"/>
    <xf numFmtId="0" fontId="0" fillId="3" borderId="0" xfId="0" applyFill="1" applyAlignment="1" applyProtection="1">
      <alignment horizontal="center"/>
      <protection locked="0"/>
    </xf>
    <xf numFmtId="10" fontId="0" fillId="3" borderId="0" xfId="0" applyNumberFormat="1" applyFill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14" fontId="0" fillId="0" borderId="15" xfId="0" applyNumberFormat="1" applyBorder="1" applyAlignment="1">
      <alignment horizontal="right" wrapText="1"/>
    </xf>
    <xf numFmtId="20" fontId="0" fillId="0" borderId="15" xfId="0" applyNumberFormat="1" applyBorder="1" applyAlignment="1">
      <alignment horizontal="right" wrapText="1"/>
    </xf>
    <xf numFmtId="0" fontId="0" fillId="0" borderId="15" xfId="0" applyBorder="1" applyAlignment="1">
      <alignment wrapText="1"/>
    </xf>
    <xf numFmtId="0" fontId="0" fillId="0" borderId="15" xfId="0" applyBorder="1" applyAlignment="1">
      <alignment horizontal="left"/>
    </xf>
    <xf numFmtId="14" fontId="0" fillId="0" borderId="16" xfId="0" applyNumberFormat="1" applyBorder="1" applyAlignment="1">
      <alignment horizontal="right" wrapText="1"/>
    </xf>
    <xf numFmtId="20" fontId="0" fillId="0" borderId="16" xfId="0" applyNumberFormat="1" applyBorder="1" applyAlignment="1">
      <alignment horizontal="right" wrapText="1"/>
    </xf>
    <xf numFmtId="0" fontId="0" fillId="0" borderId="16" xfId="0" applyBorder="1" applyAlignment="1">
      <alignment wrapText="1"/>
    </xf>
    <xf numFmtId="0" fontId="0" fillId="0" borderId="16" xfId="0" applyBorder="1" applyAlignment="1">
      <alignment horizontal="left"/>
    </xf>
    <xf numFmtId="0" fontId="0" fillId="0" borderId="17" xfId="0" applyBorder="1"/>
    <xf numFmtId="20" fontId="0" fillId="0" borderId="17" xfId="0" applyNumberFormat="1" applyBorder="1"/>
    <xf numFmtId="14" fontId="0" fillId="0" borderId="18" xfId="0" applyNumberFormat="1" applyBorder="1" applyAlignment="1">
      <alignment horizontal="right" wrapText="1"/>
    </xf>
  </cellXfs>
  <cellStyles count="3">
    <cellStyle name="Normal" xfId="0" builtinId="0"/>
    <cellStyle name="Normal 2" xfId="1" xr:uid="{5EEC9441-955F-43CB-AA4C-96DB16C2CFD9}"/>
    <cellStyle name="Normal 2 2" xfId="2" xr:uid="{1BD68AC8-CAA7-4F4B-B84E-3900D3C3FC5C}"/>
  </cellStyles>
  <dxfs count="2"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workbookViewId="0">
      <selection activeCell="E10" sqref="E10"/>
    </sheetView>
  </sheetViews>
  <sheetFormatPr defaultRowHeight="14.4" x14ac:dyDescent="0.3"/>
  <cols>
    <col min="1" max="1" width="12.33203125" bestFit="1" customWidth="1"/>
    <col min="2" max="2" width="10.109375" bestFit="1" customWidth="1"/>
    <col min="3" max="3" width="10.21875" customWidth="1"/>
    <col min="4" max="4" width="10.109375" bestFit="1" customWidth="1"/>
    <col min="5" max="5" width="13.5546875" customWidth="1"/>
    <col min="6" max="6" width="15.21875" customWidth="1"/>
    <col min="7" max="7" width="54.88671875" bestFit="1" customWidth="1"/>
    <col min="10" max="10" width="12.33203125" bestFit="1" customWidth="1"/>
    <col min="15" max="15" width="11.88671875" bestFit="1" customWidth="1"/>
    <col min="16" max="16" width="42.88671875" bestFit="1" customWidth="1"/>
  </cols>
  <sheetData>
    <row r="1" spans="1:9" ht="18.600000000000001" customHeight="1" thickBot="1" x14ac:dyDescent="0.35">
      <c r="A1" s="4" t="s">
        <v>2</v>
      </c>
      <c r="B1" s="3" t="s">
        <v>3</v>
      </c>
      <c r="C1" s="48" t="s">
        <v>4</v>
      </c>
      <c r="D1" s="3" t="s">
        <v>5</v>
      </c>
      <c r="E1" s="48" t="s">
        <v>6</v>
      </c>
      <c r="F1" s="3" t="s">
        <v>7</v>
      </c>
      <c r="G1" s="4" t="s">
        <v>0</v>
      </c>
      <c r="H1" s="49" t="s">
        <v>12</v>
      </c>
      <c r="I1" s="49" t="s">
        <v>13</v>
      </c>
    </row>
    <row r="2" spans="1:9" ht="42" customHeight="1" thickBot="1" x14ac:dyDescent="0.35">
      <c r="A2" s="50">
        <v>46115</v>
      </c>
      <c r="B2" s="51">
        <v>0.75</v>
      </c>
      <c r="C2" s="51">
        <v>0.78125</v>
      </c>
      <c r="D2" s="51">
        <v>0</v>
      </c>
      <c r="E2" s="51">
        <v>3.125E-2</v>
      </c>
      <c r="F2" s="52" t="s">
        <v>8</v>
      </c>
      <c r="G2" s="88" t="s">
        <v>98</v>
      </c>
      <c r="H2" s="52"/>
      <c r="I2" s="89">
        <v>0</v>
      </c>
    </row>
    <row r="3" spans="1:9" ht="42" customHeight="1" thickBot="1" x14ac:dyDescent="0.35">
      <c r="A3" s="50">
        <v>46117</v>
      </c>
      <c r="B3" s="51">
        <v>0.70833333333333337</v>
      </c>
      <c r="C3" s="51">
        <v>0.76041666666666663</v>
      </c>
      <c r="D3" s="51">
        <v>3.472222222222222E-3</v>
      </c>
      <c r="E3" s="51">
        <v>4.8611111111111112E-2</v>
      </c>
      <c r="F3" s="52" t="s">
        <v>9</v>
      </c>
      <c r="G3" s="88" t="s">
        <v>92</v>
      </c>
      <c r="H3" s="52"/>
      <c r="I3" s="52">
        <v>75</v>
      </c>
    </row>
    <row r="4" spans="1:9" ht="42" customHeight="1" thickBot="1" x14ac:dyDescent="0.35">
      <c r="A4" s="50">
        <v>46118</v>
      </c>
      <c r="B4" s="51">
        <v>0.79166666666666663</v>
      </c>
      <c r="C4" s="51">
        <v>0.83333333333333337</v>
      </c>
      <c r="D4" s="51">
        <v>0</v>
      </c>
      <c r="E4" s="51">
        <v>4.1666666666666664E-2</v>
      </c>
      <c r="F4" s="52" t="s">
        <v>9</v>
      </c>
      <c r="G4" s="88" t="s">
        <v>93</v>
      </c>
      <c r="H4" s="52"/>
      <c r="I4" s="52">
        <v>50</v>
      </c>
    </row>
    <row r="5" spans="1:9" ht="42" customHeight="1" thickBot="1" x14ac:dyDescent="0.35">
      <c r="A5" s="50">
        <v>46120</v>
      </c>
      <c r="B5" s="51">
        <v>0.77083333333333337</v>
      </c>
      <c r="C5" s="51">
        <v>0.85763888888888884</v>
      </c>
      <c r="D5" s="51">
        <v>6.9444444444444441E-3</v>
      </c>
      <c r="E5" s="51">
        <v>7.9861111111111105E-2</v>
      </c>
      <c r="F5" s="52" t="s">
        <v>9</v>
      </c>
      <c r="G5" s="88" t="s">
        <v>94</v>
      </c>
      <c r="H5" s="52"/>
      <c r="I5" s="52">
        <v>110</v>
      </c>
    </row>
    <row r="6" spans="1:9" ht="42" customHeight="1" thickBot="1" x14ac:dyDescent="0.35">
      <c r="A6" s="105">
        <v>46122</v>
      </c>
      <c r="B6" s="106">
        <v>0.66666666666666663</v>
      </c>
      <c r="C6" s="106">
        <v>0.70833333333333337</v>
      </c>
      <c r="D6" s="106">
        <v>0</v>
      </c>
      <c r="E6" s="106">
        <v>4.1666666666666664E-2</v>
      </c>
      <c r="F6" s="107" t="s">
        <v>9</v>
      </c>
      <c r="G6" s="108" t="s">
        <v>95</v>
      </c>
      <c r="H6" s="107"/>
      <c r="I6" s="107">
        <v>60</v>
      </c>
    </row>
    <row r="7" spans="1:9" ht="42" customHeight="1" thickBot="1" x14ac:dyDescent="0.35">
      <c r="A7" s="115">
        <v>46122</v>
      </c>
      <c r="B7" s="114">
        <v>0.70833333333333337</v>
      </c>
      <c r="C7" s="114">
        <v>0.71875</v>
      </c>
      <c r="D7" s="114">
        <v>0</v>
      </c>
      <c r="E7" s="114">
        <v>1.0416666666666666E-2</v>
      </c>
      <c r="F7" s="113" t="s">
        <v>81</v>
      </c>
      <c r="G7" s="113" t="s">
        <v>115</v>
      </c>
      <c r="H7" s="113"/>
      <c r="I7" s="113">
        <v>15</v>
      </c>
    </row>
    <row r="8" spans="1:9" ht="42" customHeight="1" thickBot="1" x14ac:dyDescent="0.35">
      <c r="A8" s="109">
        <v>46124</v>
      </c>
      <c r="B8" s="110">
        <v>0.45833333333333331</v>
      </c>
      <c r="C8" s="110">
        <v>0.5</v>
      </c>
      <c r="D8" s="110">
        <v>0</v>
      </c>
      <c r="E8" s="110">
        <v>4.1666666666666664E-2</v>
      </c>
      <c r="F8" s="111" t="s">
        <v>10</v>
      </c>
      <c r="G8" s="112" t="s">
        <v>96</v>
      </c>
      <c r="H8" s="111"/>
      <c r="I8" s="111">
        <v>30</v>
      </c>
    </row>
    <row r="9" spans="1:9" ht="36.6" customHeight="1" thickBot="1" x14ac:dyDescent="0.35">
      <c r="A9" s="50">
        <v>46125</v>
      </c>
      <c r="B9" s="51">
        <v>0.875</v>
      </c>
      <c r="C9" s="51">
        <v>0.90277777777777779</v>
      </c>
      <c r="D9" s="51">
        <v>0</v>
      </c>
      <c r="E9" s="51">
        <v>2.7777777777777776E-2</v>
      </c>
      <c r="F9" s="52" t="s">
        <v>11</v>
      </c>
      <c r="G9" s="90" t="s">
        <v>97</v>
      </c>
      <c r="H9" s="52" t="s">
        <v>14</v>
      </c>
      <c r="I9" s="52">
        <v>0</v>
      </c>
    </row>
    <row r="10" spans="1:9" ht="36.6" customHeight="1" x14ac:dyDescent="0.3">
      <c r="E10" s="47">
        <f>SUM(E2:E8)</f>
        <v>0.2951388888888889</v>
      </c>
      <c r="H10" s="2"/>
      <c r="I10" s="2"/>
    </row>
    <row r="11" spans="1:9" ht="36.6" customHeight="1" x14ac:dyDescent="0.3"/>
    <row r="12" spans="1:9" x14ac:dyDescent="0.3">
      <c r="E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CA173-8D70-4CAE-BE75-55502D20CE10}">
  <dimension ref="A1:G14"/>
  <sheetViews>
    <sheetView tabSelected="1" workbookViewId="0">
      <selection activeCell="C6" sqref="C6"/>
    </sheetView>
  </sheetViews>
  <sheetFormatPr defaultRowHeight="14.4" x14ac:dyDescent="0.3"/>
  <cols>
    <col min="1" max="1" width="1.77734375" customWidth="1"/>
    <col min="2" max="2" width="17.6640625" customWidth="1"/>
    <col min="6" max="6" width="97.77734375" customWidth="1"/>
    <col min="7" max="7" width="1.88671875" customWidth="1"/>
  </cols>
  <sheetData>
    <row r="1" spans="1:7" x14ac:dyDescent="0.3">
      <c r="A1" s="5"/>
      <c r="B1" s="6" t="s">
        <v>15</v>
      </c>
      <c r="C1" s="7">
        <v>1</v>
      </c>
      <c r="D1" s="5"/>
      <c r="E1" s="6" t="s">
        <v>16</v>
      </c>
      <c r="F1" s="54">
        <v>46115</v>
      </c>
      <c r="G1" s="5"/>
    </row>
    <row r="2" spans="1:7" x14ac:dyDescent="0.3">
      <c r="A2" s="5"/>
      <c r="B2" s="6" t="s">
        <v>17</v>
      </c>
      <c r="C2" s="57" t="s">
        <v>99</v>
      </c>
      <c r="D2" s="57"/>
      <c r="E2" s="57"/>
      <c r="F2" s="57"/>
      <c r="G2" s="5"/>
    </row>
    <row r="3" spans="1:7" x14ac:dyDescent="0.3">
      <c r="A3" s="5"/>
      <c r="B3" s="5"/>
      <c r="C3" s="6"/>
      <c r="D3" s="5"/>
      <c r="E3" s="6" t="s">
        <v>18</v>
      </c>
      <c r="F3" s="9" t="s">
        <v>100</v>
      </c>
      <c r="G3" s="5"/>
    </row>
    <row r="4" spans="1:7" x14ac:dyDescent="0.3">
      <c r="A4" s="5"/>
      <c r="B4" s="5"/>
      <c r="C4" s="5"/>
      <c r="D4" s="5"/>
      <c r="E4" s="5"/>
      <c r="F4" s="5"/>
      <c r="G4" s="5"/>
    </row>
    <row r="5" spans="1:7" ht="27" x14ac:dyDescent="0.3">
      <c r="A5" s="5"/>
      <c r="B5" s="10" t="s">
        <v>19</v>
      </c>
      <c r="C5" s="10" t="s">
        <v>20</v>
      </c>
      <c r="D5" s="10" t="s">
        <v>21</v>
      </c>
      <c r="E5" s="10" t="s">
        <v>22</v>
      </c>
      <c r="F5" s="10" t="s">
        <v>23</v>
      </c>
      <c r="G5" s="5"/>
    </row>
    <row r="6" spans="1:7" x14ac:dyDescent="0.3">
      <c r="A6" s="5"/>
      <c r="B6" s="91" t="s">
        <v>101</v>
      </c>
      <c r="C6" s="87">
        <v>425</v>
      </c>
      <c r="D6" s="8">
        <v>320</v>
      </c>
      <c r="E6" s="11">
        <f>C6/D6</f>
        <v>1.328125</v>
      </c>
      <c r="F6" s="12" t="s">
        <v>104</v>
      </c>
      <c r="G6" s="5"/>
    </row>
    <row r="7" spans="1:7" x14ac:dyDescent="0.3">
      <c r="A7" s="5"/>
      <c r="B7" s="8"/>
      <c r="C7" s="8"/>
      <c r="D7" s="8"/>
      <c r="E7" s="11" t="e">
        <f t="shared" ref="E7:E13" si="0">C7/D7</f>
        <v>#DIV/0!</v>
      </c>
      <c r="F7" s="13"/>
      <c r="G7" s="5"/>
    </row>
    <row r="8" spans="1:7" x14ac:dyDescent="0.3">
      <c r="A8" s="5"/>
      <c r="B8" s="8"/>
      <c r="C8" s="8"/>
      <c r="D8" s="8"/>
      <c r="E8" s="11" t="e">
        <f t="shared" si="0"/>
        <v>#DIV/0!</v>
      </c>
      <c r="F8" s="13"/>
      <c r="G8" s="5"/>
    </row>
    <row r="9" spans="1:7" x14ac:dyDescent="0.3">
      <c r="A9" s="5"/>
      <c r="B9" s="8"/>
      <c r="C9" s="8"/>
      <c r="D9" s="8"/>
      <c r="E9" s="11" t="e">
        <f t="shared" si="0"/>
        <v>#DIV/0!</v>
      </c>
      <c r="F9" s="13"/>
      <c r="G9" s="5"/>
    </row>
    <row r="10" spans="1:7" x14ac:dyDescent="0.3">
      <c r="A10" s="5"/>
      <c r="B10" s="8"/>
      <c r="C10" s="8"/>
      <c r="D10" s="8"/>
      <c r="E10" s="11" t="e">
        <f t="shared" si="0"/>
        <v>#DIV/0!</v>
      </c>
      <c r="F10" s="13"/>
      <c r="G10" s="5"/>
    </row>
    <row r="11" spans="1:7" x14ac:dyDescent="0.3">
      <c r="A11" s="5"/>
      <c r="B11" s="8"/>
      <c r="C11" s="8"/>
      <c r="D11" s="8"/>
      <c r="E11" s="11" t="e">
        <f t="shared" si="0"/>
        <v>#DIV/0!</v>
      </c>
      <c r="F11" s="13"/>
      <c r="G11" s="5"/>
    </row>
    <row r="12" spans="1:7" x14ac:dyDescent="0.3">
      <c r="A12" s="5"/>
      <c r="B12" s="8"/>
      <c r="C12" s="8"/>
      <c r="D12" s="8"/>
      <c r="E12" s="11" t="e">
        <f t="shared" si="0"/>
        <v>#DIV/0!</v>
      </c>
      <c r="F12" s="13"/>
      <c r="G12" s="5"/>
    </row>
    <row r="13" spans="1:7" x14ac:dyDescent="0.3">
      <c r="A13" s="5"/>
      <c r="B13" s="8"/>
      <c r="C13" s="8"/>
      <c r="D13" s="8"/>
      <c r="E13" s="11" t="e">
        <f t="shared" si="0"/>
        <v>#DIV/0!</v>
      </c>
      <c r="F13" s="13"/>
      <c r="G13" s="5"/>
    </row>
    <row r="14" spans="1:7" x14ac:dyDescent="0.3">
      <c r="A14" s="5"/>
      <c r="B14" s="5"/>
      <c r="C14" s="5"/>
      <c r="D14" s="5"/>
      <c r="E14" s="5"/>
      <c r="F14" s="5"/>
      <c r="G14" s="5"/>
    </row>
  </sheetData>
  <mergeCells count="1">
    <mergeCell ref="C2:F2"/>
  </mergeCells>
  <dataValidations count="2">
    <dataValidation allowBlank="1" showErrorMessage="1" errorTitle="Klaida" error="Fazę reikia pasirinkti!" promptTitle="Pasirinkite" prompt="fazę" sqref="E6:E13" xr:uid="{602868B0-61C5-4453-B680-1D822E2217CC}"/>
    <dataValidation allowBlank="1" showInputMessage="1" showErrorMessage="1" errorTitle="Klaida" error="Fazę reikia pasirinkti!" promptTitle="Pasirinkite" prompt="fazę" sqref="E14" xr:uid="{C786E6C3-C886-433C-BDDD-DFBDCABF20F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AA47-E782-46A9-AB31-8DBC56731154}">
  <dimension ref="A1:J32"/>
  <sheetViews>
    <sheetView workbookViewId="0">
      <selection activeCell="B31" sqref="B31:H31"/>
    </sheetView>
  </sheetViews>
  <sheetFormatPr defaultRowHeight="14.4" x14ac:dyDescent="0.3"/>
  <cols>
    <col min="1" max="1" width="1.6640625" customWidth="1"/>
    <col min="2" max="2" width="17.77734375" customWidth="1"/>
    <col min="3" max="3" width="13.77734375" customWidth="1"/>
    <col min="4" max="4" width="23.33203125" customWidth="1"/>
    <col min="5" max="5" width="42.88671875" customWidth="1"/>
    <col min="9" max="9" width="1.77734375" customWidth="1"/>
  </cols>
  <sheetData>
    <row r="1" spans="1:10" x14ac:dyDescent="0.3">
      <c r="A1" s="16"/>
      <c r="B1" s="15" t="s">
        <v>15</v>
      </c>
      <c r="C1" s="14">
        <v>1</v>
      </c>
      <c r="D1" s="16"/>
      <c r="E1" s="15" t="s">
        <v>16</v>
      </c>
      <c r="F1" s="64">
        <v>46115</v>
      </c>
      <c r="G1" s="65"/>
      <c r="H1" s="66"/>
      <c r="I1" s="16"/>
    </row>
    <row r="2" spans="1:10" x14ac:dyDescent="0.3">
      <c r="A2" s="16"/>
      <c r="B2" s="15" t="s">
        <v>17</v>
      </c>
      <c r="C2" s="62" t="s">
        <v>99</v>
      </c>
      <c r="D2" s="62"/>
      <c r="E2" s="62"/>
      <c r="F2" s="62"/>
      <c r="G2" s="63"/>
      <c r="H2" s="63"/>
      <c r="I2" s="16"/>
    </row>
    <row r="3" spans="1:10" x14ac:dyDescent="0.3">
      <c r="A3" s="16"/>
      <c r="B3" s="15" t="s">
        <v>24</v>
      </c>
      <c r="C3" s="62" t="s">
        <v>101</v>
      </c>
      <c r="D3" s="63"/>
      <c r="E3" s="15" t="s">
        <v>18</v>
      </c>
      <c r="F3" s="67" t="s">
        <v>100</v>
      </c>
      <c r="G3" s="68"/>
      <c r="H3" s="69"/>
      <c r="I3" s="16"/>
    </row>
    <row r="4" spans="1:10" x14ac:dyDescent="0.3">
      <c r="A4" s="16"/>
      <c r="B4" s="16"/>
      <c r="C4" s="16"/>
      <c r="D4" s="16"/>
      <c r="E4" s="16"/>
      <c r="F4" s="16"/>
      <c r="G4" s="16"/>
      <c r="H4" s="16"/>
      <c r="I4" s="16"/>
    </row>
    <row r="5" spans="1:10" x14ac:dyDescent="0.3">
      <c r="A5" s="16"/>
      <c r="B5" s="17" t="s">
        <v>19</v>
      </c>
      <c r="C5" s="17" t="s">
        <v>21</v>
      </c>
      <c r="D5" s="17" t="s">
        <v>25</v>
      </c>
      <c r="E5" s="17" t="s">
        <v>26</v>
      </c>
      <c r="F5" s="17" t="s">
        <v>27</v>
      </c>
      <c r="G5" s="17" t="s">
        <v>28</v>
      </c>
      <c r="H5" s="17" t="s">
        <v>29</v>
      </c>
      <c r="I5" s="16"/>
    </row>
    <row r="6" spans="1:10" x14ac:dyDescent="0.3">
      <c r="A6" s="16"/>
      <c r="B6" s="93" t="s">
        <v>101</v>
      </c>
      <c r="C6" s="21">
        <v>18</v>
      </c>
      <c r="D6" s="92" t="s">
        <v>103</v>
      </c>
      <c r="E6" s="96" t="s">
        <v>109</v>
      </c>
      <c r="F6" s="94">
        <v>10</v>
      </c>
      <c r="G6" s="94">
        <v>20</v>
      </c>
      <c r="H6" s="94">
        <v>40</v>
      </c>
      <c r="I6" s="16"/>
    </row>
    <row r="7" spans="1:10" ht="27" x14ac:dyDescent="0.3">
      <c r="A7" s="16"/>
      <c r="B7" s="93" t="s">
        <v>101</v>
      </c>
      <c r="C7" s="21">
        <v>13</v>
      </c>
      <c r="D7" s="22" t="s">
        <v>105</v>
      </c>
      <c r="E7" s="97" t="s">
        <v>113</v>
      </c>
      <c r="F7" s="18">
        <v>5</v>
      </c>
      <c r="G7" s="18">
        <v>20</v>
      </c>
      <c r="H7" s="18">
        <v>25</v>
      </c>
      <c r="I7" s="16"/>
    </row>
    <row r="8" spans="1:10" x14ac:dyDescent="0.3">
      <c r="A8" s="16"/>
      <c r="B8" s="93" t="s">
        <v>101</v>
      </c>
      <c r="C8" s="21">
        <v>12</v>
      </c>
      <c r="D8" s="22" t="s">
        <v>106</v>
      </c>
      <c r="E8" s="97" t="s">
        <v>112</v>
      </c>
      <c r="F8" s="18">
        <v>5</v>
      </c>
      <c r="G8" s="18">
        <v>20</v>
      </c>
      <c r="H8" s="18">
        <v>25</v>
      </c>
      <c r="I8" s="16"/>
      <c r="J8" s="95"/>
    </row>
    <row r="9" spans="1:10" x14ac:dyDescent="0.3">
      <c r="A9" s="16"/>
      <c r="B9" s="93" t="s">
        <v>101</v>
      </c>
      <c r="C9" s="21">
        <v>92</v>
      </c>
      <c r="D9" s="22" t="s">
        <v>107</v>
      </c>
      <c r="E9" s="98" t="s">
        <v>110</v>
      </c>
      <c r="F9" s="18">
        <v>70</v>
      </c>
      <c r="G9" s="18">
        <v>100</v>
      </c>
      <c r="H9" s="18">
        <v>125</v>
      </c>
      <c r="I9" s="16"/>
      <c r="J9" s="95"/>
    </row>
    <row r="10" spans="1:10" x14ac:dyDescent="0.3">
      <c r="A10" s="16"/>
      <c r="B10" s="93" t="s">
        <v>101</v>
      </c>
      <c r="C10" s="21">
        <v>20</v>
      </c>
      <c r="D10" s="22" t="s">
        <v>108</v>
      </c>
      <c r="E10" s="97" t="s">
        <v>111</v>
      </c>
      <c r="F10" s="18">
        <v>10</v>
      </c>
      <c r="G10" s="18">
        <v>20</v>
      </c>
      <c r="H10" s="18">
        <v>25</v>
      </c>
      <c r="I10" s="16"/>
      <c r="J10" s="95"/>
    </row>
    <row r="11" spans="1:10" x14ac:dyDescent="0.3">
      <c r="A11" s="16"/>
      <c r="B11" s="21"/>
      <c r="C11" s="21"/>
      <c r="D11" s="22"/>
      <c r="E11" s="18"/>
      <c r="F11" s="18"/>
      <c r="G11" s="18"/>
      <c r="H11" s="18"/>
      <c r="I11" s="16"/>
    </row>
    <row r="12" spans="1:10" x14ac:dyDescent="0.3">
      <c r="A12" s="16"/>
      <c r="B12" s="21"/>
      <c r="C12" s="21"/>
      <c r="D12" s="22"/>
      <c r="E12" s="18"/>
      <c r="F12" s="18"/>
      <c r="G12" s="18"/>
      <c r="H12" s="18"/>
      <c r="I12" s="16"/>
    </row>
    <row r="13" spans="1:10" x14ac:dyDescent="0.3">
      <c r="A13" s="16"/>
      <c r="B13" s="21"/>
      <c r="C13" s="21"/>
      <c r="D13" s="22"/>
      <c r="E13" s="18"/>
      <c r="F13" s="18"/>
      <c r="G13" s="18"/>
      <c r="H13" s="18"/>
      <c r="I13" s="16"/>
    </row>
    <row r="14" spans="1:10" x14ac:dyDescent="0.3">
      <c r="A14" s="16"/>
      <c r="B14" s="21"/>
      <c r="C14" s="21"/>
      <c r="D14" s="22"/>
      <c r="E14" s="18"/>
      <c r="F14" s="18"/>
      <c r="G14" s="18"/>
      <c r="H14" s="18"/>
      <c r="I14" s="16"/>
    </row>
    <row r="15" spans="1:10" x14ac:dyDescent="0.3">
      <c r="A15" s="16"/>
      <c r="B15" s="21"/>
      <c r="C15" s="21"/>
      <c r="D15" s="22"/>
      <c r="E15" s="18"/>
      <c r="F15" s="18"/>
      <c r="G15" s="18"/>
      <c r="H15" s="18"/>
      <c r="I15" s="16"/>
    </row>
    <row r="16" spans="1:10" x14ac:dyDescent="0.3">
      <c r="A16" s="16"/>
      <c r="B16" s="21"/>
      <c r="C16" s="21"/>
      <c r="D16" s="22"/>
      <c r="E16" s="18"/>
      <c r="F16" s="18"/>
      <c r="G16" s="18"/>
      <c r="H16" s="18"/>
      <c r="I16" s="16"/>
    </row>
    <row r="17" spans="1:9" x14ac:dyDescent="0.3">
      <c r="A17" s="16"/>
      <c r="B17" s="21"/>
      <c r="C17" s="21"/>
      <c r="D17" s="22"/>
      <c r="E17" s="18"/>
      <c r="F17" s="18"/>
      <c r="G17" s="18"/>
      <c r="H17" s="18"/>
      <c r="I17" s="16"/>
    </row>
    <row r="18" spans="1:9" x14ac:dyDescent="0.3">
      <c r="A18" s="16"/>
      <c r="B18" s="21"/>
      <c r="C18" s="21"/>
      <c r="D18" s="22"/>
      <c r="E18" s="18"/>
      <c r="F18" s="18"/>
      <c r="G18" s="18"/>
      <c r="H18" s="18"/>
      <c r="I18" s="16"/>
    </row>
    <row r="19" spans="1:9" x14ac:dyDescent="0.3">
      <c r="A19" s="16"/>
      <c r="B19" s="21"/>
      <c r="C19" s="21"/>
      <c r="D19" s="22"/>
      <c r="E19" s="18"/>
      <c r="F19" s="18"/>
      <c r="G19" s="18"/>
      <c r="H19" s="18"/>
      <c r="I19" s="16"/>
    </row>
    <row r="20" spans="1:9" x14ac:dyDescent="0.3">
      <c r="A20" s="16"/>
      <c r="B20" s="21"/>
      <c r="C20" s="21"/>
      <c r="D20" s="22"/>
      <c r="E20" s="18"/>
      <c r="F20" s="18"/>
      <c r="G20" s="18"/>
      <c r="H20" s="18"/>
      <c r="I20" s="16"/>
    </row>
    <row r="21" spans="1:9" x14ac:dyDescent="0.3">
      <c r="A21" s="16"/>
      <c r="B21" s="21"/>
      <c r="C21" s="21"/>
      <c r="D21" s="22"/>
      <c r="E21" s="18"/>
      <c r="F21" s="18"/>
      <c r="G21" s="18"/>
      <c r="H21" s="18"/>
      <c r="I21" s="16"/>
    </row>
    <row r="22" spans="1:9" x14ac:dyDescent="0.3">
      <c r="A22" s="16"/>
      <c r="B22" s="21"/>
      <c r="C22" s="21"/>
      <c r="D22" s="22"/>
      <c r="E22" s="18"/>
      <c r="F22" s="18"/>
      <c r="G22" s="18"/>
      <c r="H22" s="18"/>
      <c r="I22" s="16"/>
    </row>
    <row r="23" spans="1:9" x14ac:dyDescent="0.3">
      <c r="A23" s="16"/>
      <c r="B23" s="21"/>
      <c r="C23" s="21"/>
      <c r="D23" s="22"/>
      <c r="E23" s="18"/>
      <c r="F23" s="18"/>
      <c r="G23" s="18"/>
      <c r="H23" s="18"/>
      <c r="I23" s="16"/>
    </row>
    <row r="24" spans="1:9" x14ac:dyDescent="0.3">
      <c r="A24" s="16"/>
      <c r="B24" s="21"/>
      <c r="C24" s="21"/>
      <c r="D24" s="22"/>
      <c r="E24" s="18"/>
      <c r="F24" s="18"/>
      <c r="G24" s="18"/>
      <c r="H24" s="18"/>
      <c r="I24" s="16"/>
    </row>
    <row r="25" spans="1:9" x14ac:dyDescent="0.3">
      <c r="A25" s="16"/>
      <c r="B25" s="21"/>
      <c r="C25" s="21"/>
      <c r="D25" s="22"/>
      <c r="E25" s="18"/>
      <c r="F25" s="18"/>
      <c r="G25" s="18"/>
      <c r="H25" s="18"/>
      <c r="I25" s="16"/>
    </row>
    <row r="26" spans="1:9" x14ac:dyDescent="0.3">
      <c r="A26" s="16"/>
      <c r="B26" s="21"/>
      <c r="C26" s="21"/>
      <c r="D26" s="22"/>
      <c r="E26" s="18"/>
      <c r="F26" s="18"/>
      <c r="G26" s="18"/>
      <c r="H26" s="18"/>
      <c r="I26" s="16"/>
    </row>
    <row r="27" spans="1:9" x14ac:dyDescent="0.3">
      <c r="A27" s="16"/>
      <c r="B27" s="21"/>
      <c r="C27" s="21"/>
      <c r="D27" s="22"/>
      <c r="E27" s="18"/>
      <c r="F27" s="18"/>
      <c r="G27" s="18"/>
      <c r="H27" s="18"/>
      <c r="I27" s="16"/>
    </row>
    <row r="28" spans="1:9" x14ac:dyDescent="0.3">
      <c r="A28" s="16"/>
      <c r="B28" s="21"/>
      <c r="C28" s="21"/>
      <c r="D28" s="22"/>
      <c r="E28" s="18"/>
      <c r="F28" s="18"/>
      <c r="G28" s="18"/>
      <c r="H28" s="18"/>
      <c r="I28" s="16"/>
    </row>
    <row r="29" spans="1:9" x14ac:dyDescent="0.3">
      <c r="A29" s="16"/>
      <c r="B29" s="58" t="s">
        <v>30</v>
      </c>
      <c r="C29" s="59"/>
      <c r="D29" s="59"/>
      <c r="E29" s="60"/>
      <c r="F29" s="19">
        <f>SUM(F6:F28)</f>
        <v>100</v>
      </c>
      <c r="G29" s="19">
        <f>SUM(G6:G28)</f>
        <v>180</v>
      </c>
      <c r="H29" s="19">
        <f t="shared" ref="G29:H29" si="0">SUM(H6:H28)</f>
        <v>240</v>
      </c>
      <c r="I29" s="16"/>
    </row>
    <row r="30" spans="1:9" x14ac:dyDescent="0.3">
      <c r="A30" s="16"/>
      <c r="B30" s="20" t="s">
        <v>31</v>
      </c>
      <c r="C30" s="16"/>
      <c r="D30" s="16"/>
      <c r="E30" s="16"/>
      <c r="F30" s="16"/>
      <c r="G30" s="16"/>
      <c r="H30" s="16"/>
      <c r="I30" s="16"/>
    </row>
    <row r="31" spans="1:9" ht="55.2" customHeight="1" x14ac:dyDescent="0.3">
      <c r="A31" s="16"/>
      <c r="B31" s="61" t="s">
        <v>114</v>
      </c>
      <c r="C31" s="61"/>
      <c r="D31" s="61"/>
      <c r="E31" s="61"/>
      <c r="F31" s="61"/>
      <c r="G31" s="61"/>
      <c r="H31" s="61"/>
      <c r="I31" s="16"/>
    </row>
    <row r="32" spans="1:9" x14ac:dyDescent="0.3">
      <c r="A32" s="16"/>
      <c r="B32" s="16"/>
      <c r="C32" s="16"/>
      <c r="D32" s="16"/>
      <c r="E32" s="16"/>
      <c r="F32" s="16"/>
      <c r="G32" s="16"/>
      <c r="H32" s="16"/>
      <c r="I32" s="16"/>
    </row>
  </sheetData>
  <mergeCells count="6">
    <mergeCell ref="B29:E29"/>
    <mergeCell ref="B31:H31"/>
    <mergeCell ref="C3:D3"/>
    <mergeCell ref="F1:H1"/>
    <mergeCell ref="C2:H2"/>
    <mergeCell ref="F3:H3"/>
  </mergeCells>
  <pageMargins left="0.7" right="0.7" top="0.75" bottom="0.75" header="0.3" footer="0.3"/>
  <ignoredErrors>
    <ignoredError sqref="F29:H29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E825-0309-431F-A255-3B27E4BB8566}">
  <dimension ref="A1:G43"/>
  <sheetViews>
    <sheetView workbookViewId="0">
      <selection activeCell="G43" sqref="A1:G43"/>
    </sheetView>
  </sheetViews>
  <sheetFormatPr defaultRowHeight="14.4" x14ac:dyDescent="0.3"/>
  <cols>
    <col min="1" max="1" width="2.21875" customWidth="1"/>
    <col min="2" max="2" width="19.77734375" customWidth="1"/>
    <col min="3" max="3" width="14.6640625" customWidth="1"/>
    <col min="4" max="4" width="15.44140625" customWidth="1"/>
    <col min="5" max="5" width="17" customWidth="1"/>
    <col min="6" max="6" width="14.44140625" customWidth="1"/>
    <col min="7" max="7" width="2.33203125" customWidth="1"/>
  </cols>
  <sheetData>
    <row r="1" spans="1:7" x14ac:dyDescent="0.3">
      <c r="A1" s="70" t="s">
        <v>65</v>
      </c>
      <c r="B1" s="70"/>
      <c r="C1" s="70"/>
      <c r="D1" s="70"/>
      <c r="E1" s="70"/>
      <c r="F1" s="70"/>
      <c r="G1" s="70"/>
    </row>
    <row r="2" spans="1:7" x14ac:dyDescent="0.3">
      <c r="A2" s="16"/>
      <c r="B2" s="15" t="s">
        <v>15</v>
      </c>
      <c r="C2" s="14">
        <v>1</v>
      </c>
      <c r="D2" s="15" t="s">
        <v>16</v>
      </c>
      <c r="E2" s="55">
        <v>46115</v>
      </c>
      <c r="F2" s="15"/>
      <c r="G2" s="16"/>
    </row>
    <row r="3" spans="1:7" x14ac:dyDescent="0.3">
      <c r="A3" s="16"/>
      <c r="B3" s="15" t="s">
        <v>17</v>
      </c>
      <c r="C3" s="75" t="s">
        <v>99</v>
      </c>
      <c r="D3" s="76"/>
      <c r="E3" s="76"/>
      <c r="F3" s="77"/>
      <c r="G3" s="16"/>
    </row>
    <row r="4" spans="1:7" x14ac:dyDescent="0.3">
      <c r="A4" s="16"/>
      <c r="B4" s="15" t="s">
        <v>57</v>
      </c>
      <c r="C4" s="35" t="s">
        <v>101</v>
      </c>
      <c r="D4" s="16"/>
      <c r="E4" s="15" t="s">
        <v>18</v>
      </c>
      <c r="F4" s="35" t="s">
        <v>100</v>
      </c>
      <c r="G4" s="16"/>
    </row>
    <row r="5" spans="1:7" ht="27" x14ac:dyDescent="0.3">
      <c r="A5" s="16"/>
      <c r="B5" s="36" t="s">
        <v>66</v>
      </c>
      <c r="C5" s="78" t="s">
        <v>102</v>
      </c>
      <c r="D5" s="79"/>
      <c r="E5" s="79"/>
      <c r="F5" s="80"/>
      <c r="G5" s="16"/>
    </row>
    <row r="6" spans="1:7" ht="10.199999999999999" customHeight="1" x14ac:dyDescent="0.3">
      <c r="A6" s="16"/>
      <c r="B6" s="16"/>
      <c r="C6" s="16"/>
      <c r="D6" s="16"/>
      <c r="E6" s="16"/>
      <c r="F6" s="16"/>
      <c r="G6" s="16"/>
    </row>
    <row r="7" spans="1:7" x14ac:dyDescent="0.3">
      <c r="A7" s="71" t="s">
        <v>67</v>
      </c>
      <c r="B7" s="72"/>
      <c r="C7" s="26" t="s">
        <v>68</v>
      </c>
      <c r="D7" s="26" t="s">
        <v>69</v>
      </c>
      <c r="E7" s="26" t="s">
        <v>70</v>
      </c>
      <c r="F7" s="31"/>
      <c r="G7" s="16"/>
    </row>
    <row r="8" spans="1:7" x14ac:dyDescent="0.3">
      <c r="A8" s="37"/>
      <c r="B8" s="38" t="s">
        <v>22</v>
      </c>
      <c r="C8" s="53">
        <v>1.4</v>
      </c>
      <c r="D8" s="46">
        <f>D22/D11</f>
        <v>1.328125</v>
      </c>
      <c r="E8" s="46">
        <f>E22/E11</f>
        <v>1.28125</v>
      </c>
      <c r="F8" s="42"/>
      <c r="G8" s="16"/>
    </row>
    <row r="9" spans="1:7" x14ac:dyDescent="0.3">
      <c r="A9" s="37"/>
      <c r="B9" s="38" t="s">
        <v>71</v>
      </c>
      <c r="C9" s="46">
        <f>60/C8</f>
        <v>42.857142857142861</v>
      </c>
      <c r="D9" s="46">
        <f>60/D8</f>
        <v>45.176470588235297</v>
      </c>
      <c r="E9" s="46">
        <f>60/E8</f>
        <v>46.829268292682926</v>
      </c>
      <c r="F9" s="42"/>
      <c r="G9" s="16"/>
    </row>
    <row r="10" spans="1:7" x14ac:dyDescent="0.3">
      <c r="A10" s="81" t="s">
        <v>72</v>
      </c>
      <c r="B10" s="82"/>
      <c r="C10" s="76"/>
      <c r="D10" s="76"/>
      <c r="E10" s="77"/>
      <c r="F10" s="31"/>
      <c r="G10" s="16"/>
    </row>
    <row r="11" spans="1:7" x14ac:dyDescent="0.3">
      <c r="A11" s="37"/>
      <c r="B11" s="38" t="s">
        <v>73</v>
      </c>
      <c r="C11" s="8">
        <v>400</v>
      </c>
      <c r="D11" s="23">
        <f>PDF!D6</f>
        <v>320</v>
      </c>
      <c r="E11" s="23">
        <f>D11</f>
        <v>320</v>
      </c>
      <c r="F11" s="42"/>
      <c r="G11" s="16"/>
    </row>
    <row r="12" spans="1:7" x14ac:dyDescent="0.3">
      <c r="A12" s="37"/>
      <c r="B12" s="38" t="s">
        <v>74</v>
      </c>
      <c r="C12" s="8">
        <v>500</v>
      </c>
      <c r="D12" s="99"/>
      <c r="E12" s="99"/>
      <c r="F12" s="100"/>
      <c r="G12" s="16"/>
    </row>
    <row r="13" spans="1:7" x14ac:dyDescent="0.3">
      <c r="A13" s="37"/>
      <c r="B13" s="38" t="s">
        <v>75</v>
      </c>
      <c r="C13" s="8">
        <v>350</v>
      </c>
      <c r="D13" s="99"/>
      <c r="E13" s="99"/>
      <c r="F13" s="100"/>
      <c r="G13" s="16"/>
    </row>
    <row r="14" spans="1:7" x14ac:dyDescent="0.3">
      <c r="A14" s="71" t="s">
        <v>76</v>
      </c>
      <c r="B14" s="72"/>
      <c r="C14" s="101" t="s">
        <v>68</v>
      </c>
      <c r="D14" s="101" t="s">
        <v>69</v>
      </c>
      <c r="E14" s="101" t="s">
        <v>70</v>
      </c>
      <c r="F14" s="101" t="s">
        <v>77</v>
      </c>
      <c r="G14" s="16"/>
    </row>
    <row r="15" spans="1:7" x14ac:dyDescent="0.3">
      <c r="A15" s="37"/>
      <c r="B15" s="38" t="s">
        <v>8</v>
      </c>
      <c r="C15" s="8">
        <v>30</v>
      </c>
      <c r="D15" s="8">
        <v>45</v>
      </c>
      <c r="E15" s="8">
        <v>45</v>
      </c>
      <c r="F15" s="44">
        <f>E15/E22</f>
        <v>0.10975609756097561</v>
      </c>
      <c r="G15" s="16"/>
    </row>
    <row r="16" spans="1:7" x14ac:dyDescent="0.3">
      <c r="A16" s="37"/>
      <c r="B16" s="38" t="s">
        <v>78</v>
      </c>
      <c r="C16" s="8">
        <v>10</v>
      </c>
      <c r="D16" s="8">
        <v>0</v>
      </c>
      <c r="E16" s="8">
        <v>0</v>
      </c>
      <c r="F16" s="44">
        <f>E16/E22</f>
        <v>0</v>
      </c>
      <c r="G16" s="16"/>
    </row>
    <row r="17" spans="1:7" x14ac:dyDescent="0.3">
      <c r="A17" s="37"/>
      <c r="B17" s="38" t="s">
        <v>79</v>
      </c>
      <c r="C17" s="8">
        <v>350</v>
      </c>
      <c r="D17" s="8">
        <v>305</v>
      </c>
      <c r="E17" s="8">
        <v>305</v>
      </c>
      <c r="F17" s="44">
        <f>E17/E22</f>
        <v>0.74390243902439024</v>
      </c>
      <c r="G17" s="16"/>
    </row>
    <row r="18" spans="1:7" x14ac:dyDescent="0.3">
      <c r="A18" s="37"/>
      <c r="B18" s="40" t="s">
        <v>80</v>
      </c>
      <c r="C18" s="8">
        <v>5</v>
      </c>
      <c r="D18" s="8">
        <v>0</v>
      </c>
      <c r="E18" s="8">
        <v>0</v>
      </c>
      <c r="F18" s="44">
        <f>E18/E22</f>
        <v>0</v>
      </c>
      <c r="G18" s="16"/>
    </row>
    <row r="19" spans="1:7" x14ac:dyDescent="0.3">
      <c r="A19" s="37"/>
      <c r="B19" s="38" t="s">
        <v>81</v>
      </c>
      <c r="C19" s="8">
        <v>10</v>
      </c>
      <c r="D19" s="8">
        <v>15</v>
      </c>
      <c r="E19" s="8">
        <v>0</v>
      </c>
      <c r="F19" s="44">
        <f>E19/E22</f>
        <v>0</v>
      </c>
      <c r="G19" s="16"/>
    </row>
    <row r="20" spans="1:7" x14ac:dyDescent="0.3">
      <c r="A20" s="37"/>
      <c r="B20" s="38" t="s">
        <v>10</v>
      </c>
      <c r="C20" s="8">
        <v>30</v>
      </c>
      <c r="D20" s="8">
        <v>60</v>
      </c>
      <c r="E20" s="8">
        <v>60</v>
      </c>
      <c r="F20" s="44">
        <f>E20/E22</f>
        <v>0.14634146341463414</v>
      </c>
      <c r="G20" s="16"/>
    </row>
    <row r="21" spans="1:7" x14ac:dyDescent="0.3">
      <c r="A21" s="37"/>
      <c r="B21" s="38" t="s">
        <v>82</v>
      </c>
      <c r="C21" s="8">
        <v>10</v>
      </c>
      <c r="D21" s="8">
        <v>0</v>
      </c>
      <c r="E21" s="8">
        <v>0</v>
      </c>
      <c r="F21" s="44">
        <f>E21/E22</f>
        <v>0</v>
      </c>
      <c r="G21" s="16"/>
    </row>
    <row r="22" spans="1:7" x14ac:dyDescent="0.3">
      <c r="A22" s="37"/>
      <c r="B22" s="39" t="s">
        <v>83</v>
      </c>
      <c r="C22" s="45">
        <f>SUM(C15:C21)</f>
        <v>445</v>
      </c>
      <c r="D22" s="45">
        <f>SUM(D15:D21)</f>
        <v>425</v>
      </c>
      <c r="E22" s="45">
        <f>SUM(E15:E21)</f>
        <v>410</v>
      </c>
      <c r="F22" s="44">
        <f>SUM(F15:F21)</f>
        <v>1</v>
      </c>
      <c r="G22" s="16"/>
    </row>
    <row r="23" spans="1:7" x14ac:dyDescent="0.3">
      <c r="A23" s="37"/>
      <c r="B23" s="43" t="s">
        <v>84</v>
      </c>
      <c r="C23" s="45">
        <f>ROUND(C11*C8,0)</f>
        <v>560</v>
      </c>
      <c r="D23" s="99"/>
      <c r="E23" s="99"/>
      <c r="F23" s="99"/>
      <c r="G23" s="16"/>
    </row>
    <row r="24" spans="1:7" x14ac:dyDescent="0.3">
      <c r="A24" s="37"/>
      <c r="B24" s="43" t="s">
        <v>85</v>
      </c>
      <c r="C24" s="45">
        <f>ROUND(C12*C8,0)</f>
        <v>700</v>
      </c>
      <c r="D24" s="99"/>
      <c r="E24" s="99"/>
      <c r="F24" s="99"/>
      <c r="G24" s="16"/>
    </row>
    <row r="25" spans="1:7" x14ac:dyDescent="0.3">
      <c r="A25" s="37"/>
      <c r="B25" s="43" t="s">
        <v>86</v>
      </c>
      <c r="C25" s="45">
        <f>ROUND(C13*C8,0)</f>
        <v>490</v>
      </c>
      <c r="D25" s="99"/>
      <c r="E25" s="99"/>
      <c r="F25" s="99"/>
      <c r="G25" s="16"/>
    </row>
    <row r="26" spans="1:7" x14ac:dyDescent="0.3">
      <c r="A26" s="73" t="s">
        <v>87</v>
      </c>
      <c r="B26" s="74"/>
      <c r="C26" s="46"/>
      <c r="D26" s="102" t="s">
        <v>69</v>
      </c>
      <c r="E26" s="102" t="s">
        <v>70</v>
      </c>
      <c r="F26" s="102" t="s">
        <v>77</v>
      </c>
      <c r="G26" s="16"/>
    </row>
    <row r="27" spans="1:7" x14ac:dyDescent="0.3">
      <c r="A27" s="37"/>
      <c r="B27" s="40" t="s">
        <v>8</v>
      </c>
      <c r="C27" s="103" t="s">
        <v>88</v>
      </c>
      <c r="D27" s="8">
        <v>2</v>
      </c>
      <c r="E27" s="8">
        <v>2</v>
      </c>
      <c r="F27" s="44">
        <f>E27/E33</f>
        <v>0.2</v>
      </c>
      <c r="G27" s="16"/>
    </row>
    <row r="28" spans="1:7" x14ac:dyDescent="0.3">
      <c r="A28" s="37"/>
      <c r="B28" s="40" t="s">
        <v>78</v>
      </c>
      <c r="C28" s="103" t="s">
        <v>88</v>
      </c>
      <c r="D28" s="8">
        <v>0</v>
      </c>
      <c r="E28" s="8">
        <v>0</v>
      </c>
      <c r="F28" s="44">
        <f>E28/E33</f>
        <v>0</v>
      </c>
      <c r="G28" s="16"/>
    </row>
    <row r="29" spans="1:7" x14ac:dyDescent="0.3">
      <c r="A29" s="37"/>
      <c r="B29" s="40" t="s">
        <v>79</v>
      </c>
      <c r="C29" s="103" t="s">
        <v>88</v>
      </c>
      <c r="D29" s="8">
        <v>6</v>
      </c>
      <c r="E29" s="8">
        <v>6</v>
      </c>
      <c r="F29" s="44">
        <f>E29/E33</f>
        <v>0.6</v>
      </c>
      <c r="G29" s="16"/>
    </row>
    <row r="30" spans="1:7" x14ac:dyDescent="0.3">
      <c r="A30" s="37"/>
      <c r="B30" s="40" t="s">
        <v>80</v>
      </c>
      <c r="C30" s="103" t="s">
        <v>88</v>
      </c>
      <c r="D30" s="8">
        <v>0</v>
      </c>
      <c r="E30" s="8">
        <v>0</v>
      </c>
      <c r="F30" s="44">
        <f>E30/E33</f>
        <v>0</v>
      </c>
      <c r="G30" s="16"/>
    </row>
    <row r="31" spans="1:7" x14ac:dyDescent="0.3">
      <c r="A31" s="37"/>
      <c r="B31" s="40" t="s">
        <v>81</v>
      </c>
      <c r="C31" s="103" t="s">
        <v>88</v>
      </c>
      <c r="D31" s="8">
        <v>0</v>
      </c>
      <c r="E31" s="8">
        <v>0</v>
      </c>
      <c r="F31" s="44">
        <f>E31/E33</f>
        <v>0</v>
      </c>
      <c r="G31" s="16"/>
    </row>
    <row r="32" spans="1:7" x14ac:dyDescent="0.3">
      <c r="A32" s="37"/>
      <c r="B32" s="40" t="s">
        <v>10</v>
      </c>
      <c r="C32" s="103" t="s">
        <v>88</v>
      </c>
      <c r="D32" s="8">
        <v>2</v>
      </c>
      <c r="E32" s="8">
        <v>2</v>
      </c>
      <c r="F32" s="44">
        <f>E32/E33</f>
        <v>0.2</v>
      </c>
      <c r="G32" s="16"/>
    </row>
    <row r="33" spans="1:7" x14ac:dyDescent="0.3">
      <c r="A33" s="37"/>
      <c r="B33" s="39" t="s">
        <v>89</v>
      </c>
      <c r="C33" s="103" t="s">
        <v>88</v>
      </c>
      <c r="D33" s="45">
        <f>SUM(D27:D32)</f>
        <v>10</v>
      </c>
      <c r="E33" s="45">
        <f>SUM(E27:E32)</f>
        <v>10</v>
      </c>
      <c r="F33" s="44">
        <f>SUM(F27:F32)</f>
        <v>1</v>
      </c>
      <c r="G33" s="16"/>
    </row>
    <row r="34" spans="1:7" x14ac:dyDescent="0.3">
      <c r="A34" s="73" t="s">
        <v>90</v>
      </c>
      <c r="B34" s="74"/>
      <c r="C34" s="5"/>
      <c r="D34" s="104" t="s">
        <v>69</v>
      </c>
      <c r="E34" s="104" t="s">
        <v>70</v>
      </c>
      <c r="F34" s="104" t="s">
        <v>77</v>
      </c>
      <c r="G34" s="16"/>
    </row>
    <row r="35" spans="1:7" x14ac:dyDescent="0.3">
      <c r="A35" s="37"/>
      <c r="B35" s="38" t="s">
        <v>8</v>
      </c>
      <c r="C35" s="103" t="s">
        <v>88</v>
      </c>
      <c r="D35" s="8">
        <v>0</v>
      </c>
      <c r="E35" s="8">
        <v>0</v>
      </c>
      <c r="F35" s="44">
        <f>E35/E41</f>
        <v>0</v>
      </c>
      <c r="G35" s="16"/>
    </row>
    <row r="36" spans="1:7" x14ac:dyDescent="0.3">
      <c r="A36" s="37"/>
      <c r="B36" s="38" t="s">
        <v>78</v>
      </c>
      <c r="C36" s="103" t="s">
        <v>88</v>
      </c>
      <c r="D36" s="8">
        <v>0</v>
      </c>
      <c r="E36" s="8">
        <v>0</v>
      </c>
      <c r="F36" s="44">
        <f>E36/E41</f>
        <v>0</v>
      </c>
      <c r="G36" s="16"/>
    </row>
    <row r="37" spans="1:7" x14ac:dyDescent="0.3">
      <c r="A37" s="37"/>
      <c r="B37" s="38" t="s">
        <v>79</v>
      </c>
      <c r="C37" s="103" t="s">
        <v>88</v>
      </c>
      <c r="D37" s="8">
        <v>4</v>
      </c>
      <c r="E37" s="8">
        <v>4</v>
      </c>
      <c r="F37" s="44">
        <f>E37/E41</f>
        <v>0.4</v>
      </c>
      <c r="G37" s="16"/>
    </row>
    <row r="38" spans="1:7" x14ac:dyDescent="0.3">
      <c r="A38" s="37"/>
      <c r="B38" s="40" t="s">
        <v>80</v>
      </c>
      <c r="C38" s="103" t="s">
        <v>88</v>
      </c>
      <c r="D38" s="8">
        <v>0</v>
      </c>
      <c r="E38" s="8">
        <v>0</v>
      </c>
      <c r="F38" s="44">
        <f>E38/E41</f>
        <v>0</v>
      </c>
      <c r="G38" s="16"/>
    </row>
    <row r="39" spans="1:7" x14ac:dyDescent="0.3">
      <c r="A39" s="37"/>
      <c r="B39" s="38" t="s">
        <v>81</v>
      </c>
      <c r="C39" s="103" t="s">
        <v>88</v>
      </c>
      <c r="D39" s="8">
        <v>3</v>
      </c>
      <c r="E39" s="8">
        <v>3</v>
      </c>
      <c r="F39" s="44">
        <f>E39/E41</f>
        <v>0.3</v>
      </c>
      <c r="G39" s="16"/>
    </row>
    <row r="40" spans="1:7" x14ac:dyDescent="0.3">
      <c r="A40" s="37"/>
      <c r="B40" s="38" t="s">
        <v>10</v>
      </c>
      <c r="C40" s="103" t="s">
        <v>88</v>
      </c>
      <c r="D40" s="8">
        <v>3</v>
      </c>
      <c r="E40" s="8">
        <v>3</v>
      </c>
      <c r="F40" s="44">
        <f>E40/E41</f>
        <v>0.3</v>
      </c>
      <c r="G40" s="16"/>
    </row>
    <row r="41" spans="1:7" x14ac:dyDescent="0.3">
      <c r="A41" s="37"/>
      <c r="B41" s="39" t="s">
        <v>89</v>
      </c>
      <c r="C41" s="103" t="s">
        <v>88</v>
      </c>
      <c r="D41" s="45">
        <f>SUM(D35:D40)</f>
        <v>10</v>
      </c>
      <c r="E41" s="45">
        <f>SUM(E35:E40)</f>
        <v>10</v>
      </c>
      <c r="F41" s="44">
        <f>SUM(F35:F40)</f>
        <v>1</v>
      </c>
      <c r="G41" s="16"/>
    </row>
    <row r="42" spans="1:7" x14ac:dyDescent="0.3">
      <c r="A42" s="16"/>
      <c r="B42" s="41" t="s">
        <v>91</v>
      </c>
      <c r="C42" s="103" t="s">
        <v>88</v>
      </c>
      <c r="D42" s="8">
        <v>0</v>
      </c>
      <c r="E42" s="8">
        <v>0</v>
      </c>
      <c r="F42" s="44"/>
      <c r="G42" s="16"/>
    </row>
    <row r="43" spans="1:7" x14ac:dyDescent="0.3">
      <c r="A43" s="16"/>
      <c r="B43" s="16"/>
      <c r="C43" s="16"/>
      <c r="D43" s="16"/>
      <c r="E43" s="16"/>
      <c r="F43" s="16"/>
      <c r="G43" s="16"/>
    </row>
  </sheetData>
  <mergeCells count="8">
    <mergeCell ref="A1:G1"/>
    <mergeCell ref="A14:B14"/>
    <mergeCell ref="A26:B26"/>
    <mergeCell ref="A34:B34"/>
    <mergeCell ref="C3:F3"/>
    <mergeCell ref="C5:F5"/>
    <mergeCell ref="A7:B7"/>
    <mergeCell ref="A10:E10"/>
  </mergeCells>
  <conditionalFormatting sqref="C22">
    <cfRule type="cellIs" dxfId="0" priority="1" stopIfTrue="1" operator="notEqual">
      <formula>$C$23</formula>
    </cfRule>
  </conditionalFormatting>
  <pageMargins left="0.7" right="0.7" top="0.75" bottom="0.75" header="0.3" footer="0.3"/>
  <ignoredErrors>
    <ignoredError sqref="C9" unlocked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3FC2-82E7-4054-B487-4F95C351F397}">
  <dimension ref="A1:D17"/>
  <sheetViews>
    <sheetView workbookViewId="0">
      <selection activeCell="B3" sqref="B3:C3"/>
    </sheetView>
  </sheetViews>
  <sheetFormatPr defaultRowHeight="14.4" x14ac:dyDescent="0.3"/>
  <cols>
    <col min="1" max="1" width="13.44140625" customWidth="1"/>
    <col min="2" max="2" width="17.5546875" customWidth="1"/>
    <col min="3" max="3" width="59.5546875" customWidth="1"/>
    <col min="4" max="4" width="1.77734375" customWidth="1"/>
    <col min="5" max="5" width="17.5546875" customWidth="1"/>
  </cols>
  <sheetData>
    <row r="1" spans="1:4" x14ac:dyDescent="0.3">
      <c r="A1" s="84" t="s">
        <v>32</v>
      </c>
      <c r="B1" s="85"/>
      <c r="C1" s="85"/>
      <c r="D1" s="16"/>
    </row>
    <row r="2" spans="1:4" x14ac:dyDescent="0.3">
      <c r="A2" s="15" t="s">
        <v>15</v>
      </c>
      <c r="B2" s="14">
        <v>1</v>
      </c>
      <c r="C2" s="16"/>
      <c r="D2" s="16"/>
    </row>
    <row r="3" spans="1:4" x14ac:dyDescent="0.3">
      <c r="A3" s="15" t="s">
        <v>17</v>
      </c>
      <c r="B3" s="75" t="s">
        <v>99</v>
      </c>
      <c r="C3" s="83"/>
      <c r="D3" s="16"/>
    </row>
    <row r="4" spans="1:4" x14ac:dyDescent="0.3">
      <c r="A4" s="15" t="s">
        <v>16</v>
      </c>
      <c r="B4" s="56">
        <v>46115</v>
      </c>
      <c r="C4" s="16"/>
      <c r="D4" s="16"/>
    </row>
    <row r="5" spans="1:4" x14ac:dyDescent="0.3">
      <c r="A5" s="28"/>
      <c r="B5" s="16"/>
      <c r="C5" s="27"/>
      <c r="D5" s="16"/>
    </row>
    <row r="6" spans="1:4" ht="25.8" customHeight="1" x14ac:dyDescent="0.3">
      <c r="A6" s="17" t="s">
        <v>33</v>
      </c>
      <c r="B6" s="17" t="s">
        <v>34</v>
      </c>
      <c r="C6" s="26" t="s">
        <v>35</v>
      </c>
      <c r="D6" s="16"/>
    </row>
    <row r="7" spans="1:4" x14ac:dyDescent="0.3">
      <c r="A7" s="23">
        <v>10</v>
      </c>
      <c r="B7" s="23" t="s">
        <v>36</v>
      </c>
      <c r="C7" s="29" t="s">
        <v>37</v>
      </c>
      <c r="D7" s="16"/>
    </row>
    <row r="8" spans="1:4" x14ac:dyDescent="0.3">
      <c r="A8" s="23">
        <v>20</v>
      </c>
      <c r="B8" s="23" t="s">
        <v>38</v>
      </c>
      <c r="C8" s="29" t="s">
        <v>39</v>
      </c>
      <c r="D8" s="16"/>
    </row>
    <row r="9" spans="1:4" x14ac:dyDescent="0.3">
      <c r="A9" s="23">
        <v>30</v>
      </c>
      <c r="B9" s="23" t="s">
        <v>40</v>
      </c>
      <c r="C9" s="29" t="s">
        <v>41</v>
      </c>
      <c r="D9" s="16"/>
    </row>
    <row r="10" spans="1:4" x14ac:dyDescent="0.3">
      <c r="A10" s="23">
        <v>40</v>
      </c>
      <c r="B10" s="23" t="s">
        <v>42</v>
      </c>
      <c r="C10" s="29" t="s">
        <v>43</v>
      </c>
      <c r="D10" s="16"/>
    </row>
    <row r="11" spans="1:4" x14ac:dyDescent="0.3">
      <c r="A11" s="23">
        <v>50</v>
      </c>
      <c r="B11" s="23" t="s">
        <v>44</v>
      </c>
      <c r="C11" s="29" t="s">
        <v>45</v>
      </c>
      <c r="D11" s="16"/>
    </row>
    <row r="12" spans="1:4" x14ac:dyDescent="0.3">
      <c r="A12" s="23">
        <v>60</v>
      </c>
      <c r="B12" s="23" t="s">
        <v>46</v>
      </c>
      <c r="C12" s="29" t="s">
        <v>47</v>
      </c>
      <c r="D12" s="16"/>
    </row>
    <row r="13" spans="1:4" x14ac:dyDescent="0.3">
      <c r="A13" s="23">
        <v>70</v>
      </c>
      <c r="B13" s="23" t="s">
        <v>48</v>
      </c>
      <c r="C13" s="29" t="s">
        <v>49</v>
      </c>
      <c r="D13" s="16"/>
    </row>
    <row r="14" spans="1:4" x14ac:dyDescent="0.3">
      <c r="A14" s="23">
        <v>80</v>
      </c>
      <c r="B14" s="23" t="s">
        <v>50</v>
      </c>
      <c r="C14" s="29" t="s">
        <v>51</v>
      </c>
      <c r="D14" s="16"/>
    </row>
    <row r="15" spans="1:4" x14ac:dyDescent="0.3">
      <c r="A15" s="23">
        <v>90</v>
      </c>
      <c r="B15" s="23" t="s">
        <v>52</v>
      </c>
      <c r="C15" s="29" t="s">
        <v>53</v>
      </c>
      <c r="D15" s="16"/>
    </row>
    <row r="16" spans="1:4" x14ac:dyDescent="0.3">
      <c r="A16" s="23">
        <v>100</v>
      </c>
      <c r="B16" s="23" t="s">
        <v>54</v>
      </c>
      <c r="C16" s="29" t="s">
        <v>55</v>
      </c>
      <c r="D16" s="16"/>
    </row>
    <row r="17" spans="1:4" ht="53.4" x14ac:dyDescent="0.3">
      <c r="A17" s="16"/>
      <c r="B17" s="16"/>
      <c r="C17" s="30" t="s">
        <v>56</v>
      </c>
      <c r="D17" s="16"/>
    </row>
  </sheetData>
  <mergeCells count="2">
    <mergeCell ref="B3:C3"/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B84BA-02FE-41A0-BFF7-129D48DD4B65}">
  <dimension ref="A1:H34"/>
  <sheetViews>
    <sheetView workbookViewId="0">
      <selection activeCell="G8" sqref="G8"/>
    </sheetView>
  </sheetViews>
  <sheetFormatPr defaultRowHeight="14.4" x14ac:dyDescent="0.3"/>
  <cols>
    <col min="1" max="1" width="11.88671875" bestFit="1" customWidth="1"/>
    <col min="2" max="2" width="12.33203125" customWidth="1"/>
    <col min="3" max="3" width="8.77734375" customWidth="1"/>
    <col min="4" max="4" width="9.77734375" bestFit="1" customWidth="1"/>
    <col min="5" max="5" width="9.88671875" bestFit="1" customWidth="1"/>
    <col min="6" max="7" width="10" customWidth="1"/>
    <col min="8" max="8" width="68.5546875" customWidth="1"/>
  </cols>
  <sheetData>
    <row r="1" spans="1:8" x14ac:dyDescent="0.3">
      <c r="A1" s="15" t="s">
        <v>15</v>
      </c>
      <c r="B1" s="14">
        <v>1</v>
      </c>
      <c r="C1" s="16"/>
      <c r="D1" s="16"/>
      <c r="E1" s="15"/>
      <c r="F1" s="16"/>
      <c r="G1" s="16"/>
      <c r="H1" s="16"/>
    </row>
    <row r="2" spans="1:8" x14ac:dyDescent="0.3">
      <c r="A2" s="15" t="s">
        <v>17</v>
      </c>
      <c r="B2" s="75" t="s">
        <v>99</v>
      </c>
      <c r="C2" s="86"/>
      <c r="D2" s="86"/>
      <c r="E2" s="86"/>
      <c r="F2" s="86"/>
      <c r="G2" s="83"/>
      <c r="H2" s="16"/>
    </row>
    <row r="3" spans="1:8" x14ac:dyDescent="0.3">
      <c r="A3" s="15" t="s">
        <v>16</v>
      </c>
      <c r="B3" s="56">
        <v>46115</v>
      </c>
      <c r="C3" s="16"/>
      <c r="D3" s="16"/>
      <c r="E3" s="16"/>
      <c r="F3" s="15" t="s">
        <v>57</v>
      </c>
      <c r="G3" s="25" t="s">
        <v>101</v>
      </c>
      <c r="H3" s="16"/>
    </row>
    <row r="4" spans="1:8" x14ac:dyDescent="0.3">
      <c r="A4" s="16"/>
      <c r="B4" s="16"/>
      <c r="C4" s="16"/>
      <c r="D4" s="16"/>
      <c r="E4" s="16"/>
      <c r="F4" s="16"/>
      <c r="G4" s="16"/>
      <c r="H4" s="16"/>
    </row>
    <row r="5" spans="1:8" ht="27" x14ac:dyDescent="0.3">
      <c r="A5" s="17" t="s">
        <v>58</v>
      </c>
      <c r="B5" s="17" t="s">
        <v>59</v>
      </c>
      <c r="C5" s="17" t="s">
        <v>1</v>
      </c>
      <c r="D5" s="17" t="s">
        <v>60</v>
      </c>
      <c r="E5" s="17" t="s">
        <v>61</v>
      </c>
      <c r="F5" s="17" t="s">
        <v>62</v>
      </c>
      <c r="G5" s="17" t="s">
        <v>63</v>
      </c>
      <c r="H5" s="17" t="s">
        <v>64</v>
      </c>
    </row>
    <row r="6" spans="1:8" x14ac:dyDescent="0.3">
      <c r="A6" s="32"/>
      <c r="B6" s="24"/>
      <c r="C6" s="24"/>
      <c r="D6" s="24"/>
      <c r="E6" s="24"/>
      <c r="F6" s="24"/>
      <c r="G6" s="24"/>
      <c r="H6" s="33"/>
    </row>
    <row r="7" spans="1:8" x14ac:dyDescent="0.3">
      <c r="A7" s="24"/>
      <c r="B7" s="24"/>
      <c r="C7" s="24"/>
      <c r="D7" s="24"/>
      <c r="E7" s="24"/>
      <c r="F7" s="24"/>
      <c r="G7" s="24"/>
      <c r="H7" s="34"/>
    </row>
    <row r="8" spans="1:8" x14ac:dyDescent="0.3">
      <c r="A8" s="24"/>
      <c r="B8" s="24"/>
      <c r="C8" s="24"/>
      <c r="D8" s="24"/>
      <c r="E8" s="24"/>
      <c r="F8" s="24"/>
      <c r="G8" s="24"/>
      <c r="H8" s="34"/>
    </row>
    <row r="9" spans="1:8" x14ac:dyDescent="0.3">
      <c r="A9" s="24"/>
      <c r="B9" s="24"/>
      <c r="C9" s="24"/>
      <c r="D9" s="24"/>
      <c r="E9" s="24"/>
      <c r="F9" s="24"/>
      <c r="G9" s="24"/>
      <c r="H9" s="34"/>
    </row>
    <row r="10" spans="1:8" x14ac:dyDescent="0.3">
      <c r="A10" s="24"/>
      <c r="B10" s="24"/>
      <c r="C10" s="24"/>
      <c r="D10" s="24"/>
      <c r="E10" s="24"/>
      <c r="F10" s="24"/>
      <c r="G10" s="24"/>
      <c r="H10" s="34"/>
    </row>
    <row r="11" spans="1:8" x14ac:dyDescent="0.3">
      <c r="A11" s="24"/>
      <c r="B11" s="24"/>
      <c r="C11" s="24"/>
      <c r="D11" s="24"/>
      <c r="E11" s="24"/>
      <c r="F11" s="24"/>
      <c r="G11" s="24"/>
      <c r="H11" s="34"/>
    </row>
    <row r="12" spans="1:8" x14ac:dyDescent="0.3">
      <c r="A12" s="24"/>
      <c r="B12" s="24"/>
      <c r="C12" s="24"/>
      <c r="D12" s="24"/>
      <c r="E12" s="24"/>
      <c r="F12" s="24"/>
      <c r="G12" s="24"/>
      <c r="H12" s="34"/>
    </row>
    <row r="13" spans="1:8" x14ac:dyDescent="0.3">
      <c r="A13" s="24"/>
      <c r="B13" s="24"/>
      <c r="C13" s="24"/>
      <c r="D13" s="24"/>
      <c r="E13" s="24"/>
      <c r="F13" s="24"/>
      <c r="G13" s="24"/>
      <c r="H13" s="34"/>
    </row>
    <row r="14" spans="1:8" x14ac:dyDescent="0.3">
      <c r="A14" s="24"/>
      <c r="B14" s="24"/>
      <c r="C14" s="24"/>
      <c r="D14" s="24"/>
      <c r="E14" s="24"/>
      <c r="F14" s="24"/>
      <c r="G14" s="24"/>
      <c r="H14" s="34"/>
    </row>
    <row r="15" spans="1:8" x14ac:dyDescent="0.3">
      <c r="A15" s="24"/>
      <c r="B15" s="24"/>
      <c r="C15" s="24"/>
      <c r="D15" s="24"/>
      <c r="E15" s="24"/>
      <c r="F15" s="24"/>
      <c r="G15" s="24"/>
      <c r="H15" s="34"/>
    </row>
    <row r="16" spans="1:8" x14ac:dyDescent="0.3">
      <c r="A16" s="24"/>
      <c r="B16" s="24"/>
      <c r="C16" s="24"/>
      <c r="D16" s="24"/>
      <c r="E16" s="24"/>
      <c r="F16" s="24"/>
      <c r="G16" s="24"/>
      <c r="H16" s="34"/>
    </row>
    <row r="17" spans="1:8" x14ac:dyDescent="0.3">
      <c r="A17" s="24"/>
      <c r="B17" s="24"/>
      <c r="C17" s="24"/>
      <c r="D17" s="24"/>
      <c r="E17" s="24"/>
      <c r="F17" s="24"/>
      <c r="G17" s="24"/>
      <c r="H17" s="34"/>
    </row>
    <row r="18" spans="1:8" x14ac:dyDescent="0.3">
      <c r="A18" s="24"/>
      <c r="B18" s="24"/>
      <c r="C18" s="24"/>
      <c r="D18" s="24"/>
      <c r="E18" s="24"/>
      <c r="F18" s="24"/>
      <c r="G18" s="24"/>
      <c r="H18" s="34"/>
    </row>
    <row r="19" spans="1:8" x14ac:dyDescent="0.3">
      <c r="A19" s="24"/>
      <c r="B19" s="24"/>
      <c r="C19" s="24"/>
      <c r="D19" s="24"/>
      <c r="E19" s="24"/>
      <c r="F19" s="24"/>
      <c r="G19" s="24"/>
      <c r="H19" s="34"/>
    </row>
    <row r="20" spans="1:8" x14ac:dyDescent="0.3">
      <c r="A20" s="24"/>
      <c r="B20" s="24"/>
      <c r="C20" s="24"/>
      <c r="D20" s="24"/>
      <c r="E20" s="24"/>
      <c r="F20" s="24"/>
      <c r="G20" s="24"/>
      <c r="H20" s="34"/>
    </row>
    <row r="21" spans="1:8" x14ac:dyDescent="0.3">
      <c r="A21" s="24"/>
      <c r="B21" s="24"/>
      <c r="C21" s="24"/>
      <c r="D21" s="24"/>
      <c r="E21" s="24"/>
      <c r="F21" s="24"/>
      <c r="G21" s="24"/>
      <c r="H21" s="34"/>
    </row>
    <row r="22" spans="1:8" x14ac:dyDescent="0.3">
      <c r="A22" s="24"/>
      <c r="B22" s="24"/>
      <c r="C22" s="24"/>
      <c r="D22" s="24"/>
      <c r="E22" s="24"/>
      <c r="F22" s="24"/>
      <c r="G22" s="24"/>
      <c r="H22" s="34"/>
    </row>
    <row r="23" spans="1:8" x14ac:dyDescent="0.3">
      <c r="A23" s="24"/>
      <c r="B23" s="24"/>
      <c r="C23" s="24"/>
      <c r="D23" s="24"/>
      <c r="E23" s="24"/>
      <c r="F23" s="24"/>
      <c r="G23" s="24"/>
      <c r="H23" s="34"/>
    </row>
    <row r="24" spans="1:8" x14ac:dyDescent="0.3">
      <c r="A24" s="24"/>
      <c r="B24" s="24"/>
      <c r="C24" s="24"/>
      <c r="D24" s="24"/>
      <c r="E24" s="24"/>
      <c r="F24" s="24"/>
      <c r="G24" s="24"/>
      <c r="H24" s="34"/>
    </row>
    <row r="25" spans="1:8" x14ac:dyDescent="0.3">
      <c r="A25" s="24"/>
      <c r="B25" s="24"/>
      <c r="C25" s="24"/>
      <c r="D25" s="24"/>
      <c r="E25" s="24"/>
      <c r="F25" s="24"/>
      <c r="G25" s="24"/>
      <c r="H25" s="34"/>
    </row>
    <row r="26" spans="1:8" x14ac:dyDescent="0.3">
      <c r="A26" s="24"/>
      <c r="B26" s="24"/>
      <c r="C26" s="24"/>
      <c r="D26" s="24"/>
      <c r="E26" s="24"/>
      <c r="F26" s="24"/>
      <c r="G26" s="24"/>
      <c r="H26" s="34"/>
    </row>
    <row r="27" spans="1:8" x14ac:dyDescent="0.3">
      <c r="A27" s="24"/>
      <c r="B27" s="24"/>
      <c r="C27" s="24"/>
      <c r="D27" s="24"/>
      <c r="E27" s="24"/>
      <c r="F27" s="24"/>
      <c r="G27" s="24"/>
      <c r="H27" s="34"/>
    </row>
    <row r="28" spans="1:8" x14ac:dyDescent="0.3">
      <c r="A28" s="24"/>
      <c r="B28" s="24"/>
      <c r="C28" s="24"/>
      <c r="D28" s="24"/>
      <c r="E28" s="24"/>
      <c r="F28" s="24"/>
      <c r="G28" s="24"/>
      <c r="H28" s="34"/>
    </row>
    <row r="29" spans="1:8" x14ac:dyDescent="0.3">
      <c r="A29" s="24"/>
      <c r="B29" s="24"/>
      <c r="C29" s="24"/>
      <c r="D29" s="24"/>
      <c r="E29" s="24"/>
      <c r="F29" s="24"/>
      <c r="G29" s="24"/>
      <c r="H29" s="34"/>
    </row>
    <row r="30" spans="1:8" x14ac:dyDescent="0.3">
      <c r="A30" s="24"/>
      <c r="B30" s="24"/>
      <c r="C30" s="24"/>
      <c r="D30" s="24"/>
      <c r="E30" s="24"/>
      <c r="F30" s="24"/>
      <c r="G30" s="24"/>
      <c r="H30" s="34"/>
    </row>
    <row r="31" spans="1:8" x14ac:dyDescent="0.3">
      <c r="A31" s="24"/>
      <c r="B31" s="24"/>
      <c r="C31" s="24"/>
      <c r="D31" s="24"/>
      <c r="E31" s="24"/>
      <c r="F31" s="24"/>
      <c r="G31" s="24"/>
      <c r="H31" s="34"/>
    </row>
    <row r="32" spans="1:8" x14ac:dyDescent="0.3">
      <c r="A32" s="24"/>
      <c r="B32" s="24"/>
      <c r="C32" s="24"/>
      <c r="D32" s="24"/>
      <c r="E32" s="24"/>
      <c r="F32" s="24"/>
      <c r="G32" s="24"/>
      <c r="H32" s="34"/>
    </row>
    <row r="33" spans="1:8" x14ac:dyDescent="0.3">
      <c r="A33" s="24"/>
      <c r="B33" s="24"/>
      <c r="C33" s="24"/>
      <c r="D33" s="24"/>
      <c r="E33" s="24"/>
      <c r="F33" s="24"/>
      <c r="G33" s="24"/>
      <c r="H33" s="34"/>
    </row>
    <row r="34" spans="1:8" x14ac:dyDescent="0.3">
      <c r="A34" s="24"/>
      <c r="B34" s="24"/>
      <c r="C34" s="24"/>
      <c r="D34" s="24"/>
      <c r="E34" s="24"/>
      <c r="F34" s="24"/>
      <c r="G34" s="24"/>
      <c r="H34" s="34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LFF</vt:lpstr>
      <vt:lpstr>PDF</vt:lpstr>
      <vt:lpstr>DVF</vt:lpstr>
      <vt:lpstr>PPS</vt:lpstr>
      <vt:lpstr>DTS</vt:lpstr>
      <vt:lpstr>DFF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Medion</dc:creator>
  <cp:lastModifiedBy>Vladimir Sarnovskij</cp:lastModifiedBy>
  <dcterms:created xsi:type="dcterms:W3CDTF">2015-06-05T18:17:20Z</dcterms:created>
  <dcterms:modified xsi:type="dcterms:W3CDTF">2026-04-13T12:46:38Z</dcterms:modified>
</cp:coreProperties>
</file>